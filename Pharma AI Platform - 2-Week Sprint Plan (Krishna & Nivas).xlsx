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1725" documentId="11_C0AD03C342DF8CB5474742B8F932060B66CFF049" xr6:coauthVersionLast="47" xr6:coauthVersionMax="47" xr10:uidLastSave="{55CBA40A-DC20-4427-83B8-D5659B0D1B3D}"/>
  <bookViews>
    <workbookView xWindow="0" yWindow="0" windowWidth="0" windowHeight="0" xr2:uid="{00000000-000D-0000-FFFF-FFFF00000000}"/>
  </bookViews>
  <sheets>
    <sheet name="Overview" sheetId="1" r:id="rId1"/>
    <sheet name="Sprint Backlog" sheetId="2" r:id="rId2"/>
    <sheet name="Daily Schedule" sheetId="3" r:id="rId3"/>
    <sheet name="Gantt" sheetId="4" r:id="rId4"/>
    <sheet name="Capacity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26" i="1"/>
  <c r="F25" i="1"/>
  <c r="F21" i="1"/>
  <c r="E21" i="1"/>
  <c r="D21" i="1"/>
  <c r="B21" i="1"/>
  <c r="A21" i="1"/>
  <c r="F20" i="1"/>
  <c r="E20" i="1"/>
  <c r="D20" i="1"/>
  <c r="B20" i="1"/>
  <c r="A20" i="1"/>
  <c r="F19" i="1"/>
  <c r="E19" i="1"/>
  <c r="D19" i="1"/>
  <c r="B19" i="1"/>
  <c r="A19" i="1"/>
  <c r="F18" i="1"/>
  <c r="E18" i="1"/>
  <c r="D18" i="1"/>
  <c r="B18" i="1"/>
  <c r="A18" i="1"/>
  <c r="F15" i="1"/>
  <c r="B15" i="1"/>
  <c r="F14" i="1"/>
  <c r="B14" i="1"/>
  <c r="B9" i="1"/>
  <c r="B8" i="1"/>
  <c r="B7" i="1"/>
  <c r="E32" i="4"/>
  <c r="D32" i="4"/>
  <c r="C32" i="4"/>
  <c r="B32" i="4"/>
  <c r="A32" i="4"/>
  <c r="E31" i="4"/>
  <c r="D31" i="4"/>
  <c r="C31" i="4"/>
  <c r="B31" i="4"/>
  <c r="A31" i="4"/>
  <c r="E30" i="4"/>
  <c r="D30" i="4"/>
  <c r="C30" i="4"/>
  <c r="B30" i="4"/>
  <c r="A30" i="4"/>
  <c r="E29" i="4"/>
  <c r="D29" i="4"/>
  <c r="C29" i="4"/>
  <c r="B29" i="4"/>
  <c r="A29" i="4"/>
  <c r="E28" i="4"/>
  <c r="D28" i="4"/>
  <c r="C28" i="4"/>
  <c r="B28" i="4"/>
  <c r="A28" i="4"/>
  <c r="E27" i="4"/>
  <c r="D27" i="4"/>
  <c r="C27" i="4"/>
  <c r="B27" i="4"/>
  <c r="A27" i="4"/>
  <c r="E26" i="4"/>
  <c r="D26" i="4"/>
  <c r="C26" i="4"/>
  <c r="B26" i="4"/>
  <c r="A26" i="4"/>
  <c r="E25" i="4"/>
  <c r="D25" i="4"/>
  <c r="C25" i="4"/>
  <c r="B25" i="4"/>
  <c r="A25" i="4"/>
  <c r="E24" i="4"/>
  <c r="D24" i="4"/>
  <c r="C24" i="4"/>
  <c r="B24" i="4"/>
  <c r="A24" i="4"/>
  <c r="E23" i="4"/>
  <c r="D23" i="4"/>
  <c r="C23" i="4"/>
  <c r="B23" i="4"/>
  <c r="A23" i="4"/>
  <c r="E22" i="4"/>
  <c r="D22" i="4"/>
  <c r="C22" i="4"/>
  <c r="B22" i="4"/>
  <c r="A22" i="4"/>
  <c r="E21" i="4"/>
  <c r="D21" i="4"/>
  <c r="C21" i="4"/>
  <c r="B21" i="4"/>
  <c r="A21" i="4"/>
  <c r="E20" i="4"/>
  <c r="D20" i="4"/>
  <c r="C20" i="4"/>
  <c r="B20" i="4"/>
  <c r="A20" i="4"/>
  <c r="E19" i="4"/>
  <c r="D19" i="4"/>
  <c r="C19" i="4"/>
  <c r="B19" i="4"/>
  <c r="A19" i="4"/>
  <c r="E18" i="4"/>
  <c r="D18" i="4"/>
  <c r="C18" i="4"/>
  <c r="B18" i="4"/>
  <c r="A18" i="4"/>
  <c r="E17" i="4"/>
  <c r="D17" i="4"/>
  <c r="C17" i="4"/>
  <c r="B17" i="4"/>
  <c r="A17" i="4"/>
  <c r="E16" i="4"/>
  <c r="D16" i="4"/>
  <c r="C16" i="4"/>
  <c r="B16" i="4"/>
  <c r="A16" i="4"/>
  <c r="E15" i="4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10" i="4"/>
  <c r="D10" i="4"/>
  <c r="C10" i="4"/>
  <c r="B10" i="4"/>
  <c r="A10" i="4"/>
  <c r="E9" i="4"/>
  <c r="D9" i="4"/>
  <c r="C9" i="4"/>
  <c r="B9" i="4"/>
  <c r="A9" i="4"/>
  <c r="E8" i="4"/>
  <c r="D8" i="4"/>
  <c r="C8" i="4"/>
  <c r="B8" i="4"/>
  <c r="A8" i="4"/>
  <c r="E7" i="4"/>
  <c r="D7" i="4"/>
  <c r="C7" i="4"/>
  <c r="B7" i="4"/>
  <c r="A7" i="4"/>
  <c r="E6" i="4"/>
  <c r="D6" i="4"/>
  <c r="C6" i="4"/>
  <c r="B6" i="4"/>
  <c r="A6" i="4"/>
  <c r="E5" i="4"/>
  <c r="D5" i="4"/>
  <c r="C5" i="4"/>
  <c r="B5" i="4"/>
  <c r="A5" i="4"/>
  <c r="E4" i="4"/>
  <c r="D4" i="4"/>
  <c r="C4" i="4"/>
  <c r="B4" i="4"/>
  <c r="A4" i="4"/>
  <c r="A4" i="3"/>
  <c r="G17" i="5"/>
  <c r="K15" i="5"/>
  <c r="H15" i="5"/>
  <c r="J15" i="5"/>
  <c r="I15" i="5"/>
  <c r="G15" i="5"/>
  <c r="F15" i="5"/>
  <c r="E15" i="5"/>
  <c r="D15" i="5"/>
  <c r="C15" i="5"/>
  <c r="K14" i="5"/>
  <c r="J14" i="5"/>
  <c r="I14" i="5"/>
  <c r="H14" i="5"/>
  <c r="G14" i="5"/>
  <c r="F14" i="5"/>
  <c r="E14" i="5"/>
  <c r="D14" i="5"/>
  <c r="C14" i="5"/>
  <c r="K13" i="5"/>
  <c r="J13" i="5"/>
  <c r="I13" i="5"/>
  <c r="H13" i="5"/>
  <c r="G13" i="5"/>
  <c r="F13" i="5"/>
  <c r="E13" i="5"/>
  <c r="D13" i="5"/>
  <c r="C13" i="5"/>
  <c r="K12" i="5"/>
  <c r="J12" i="5"/>
  <c r="I12" i="5"/>
  <c r="H12" i="5"/>
  <c r="G12" i="5"/>
  <c r="F12" i="5"/>
  <c r="E12" i="5"/>
  <c r="D12" i="5"/>
  <c r="C12" i="5"/>
  <c r="K11" i="5"/>
  <c r="J11" i="5"/>
  <c r="I11" i="5"/>
  <c r="H11" i="5"/>
  <c r="G11" i="5"/>
  <c r="F11" i="5"/>
  <c r="E11" i="5"/>
  <c r="D11" i="5"/>
  <c r="C11" i="5"/>
  <c r="F3" i="4" l="1"/>
  <c r="A5" i="3"/>
  <c r="C4" i="3"/>
  <c r="B4" i="3"/>
  <c r="F4" i="4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B5" i="3"/>
  <c r="C5" i="3"/>
  <c r="A6" i="3"/>
  <c r="G3" i="4"/>
  <c r="B6" i="3" l="1"/>
  <c r="C6" i="3"/>
  <c r="A7" i="3"/>
  <c r="H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B7" i="3" l="1"/>
  <c r="C7" i="3"/>
  <c r="A8" i="3"/>
  <c r="I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B8" i="3" l="1"/>
  <c r="C8" i="3"/>
  <c r="A9" i="3"/>
  <c r="J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B9" i="3" l="1"/>
  <c r="C9" i="3"/>
  <c r="A10" i="3"/>
  <c r="K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B10" i="3" l="1"/>
  <c r="C10" i="3"/>
  <c r="A11" i="3"/>
  <c r="L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B11" i="3" l="1"/>
  <c r="C11" i="3"/>
  <c r="A12" i="3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B12" i="3" l="1"/>
  <c r="C12" i="3"/>
  <c r="A13" i="3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B13" i="3" l="1"/>
  <c r="C13" i="3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O4" i="4" l="1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</calcChain>
</file>

<file path=xl/sharedStrings.xml><?xml version="1.0" encoding="utf-8"?>
<sst xmlns="http://schemas.openxmlformats.org/spreadsheetml/2006/main" count="538" uniqueCount="362">
  <si>
    <t>Pharmaceutical AI Platform – 2-Week Sprint Plan (Krishna &amp; Nivas)</t>
  </si>
  <si>
    <t>Phase 0 "Align &amp; prepare" + platform foundation, then start of Phase 1 "Trusted research foundation" (PRD §15)</t>
  </si>
  <si>
    <t>Project details</t>
  </si>
  <si>
    <t>Project</t>
  </si>
  <si>
    <t>Pharmaceutical AI Platform – evidence-grounded R&amp;D assistant (per PRD)</t>
  </si>
  <si>
    <t>Sprint 1 start</t>
  </si>
  <si>
    <t>Input – all schedule dates (Daily Schedule, Gantt headers) flow from this cell</t>
  </si>
  <si>
    <t>Sprint 1 end</t>
  </si>
  <si>
    <t>Sprint 2 start</t>
  </si>
  <si>
    <t>Sprint 2 end</t>
  </si>
  <si>
    <t>Team</t>
  </si>
  <si>
    <t>Krishna – backend / AI / data (ingestion, retrieval, LangGraph, DB)  •  Nivas – frontend / platform / DevOps (UI, auth, CI/CD, containers, audit UI)</t>
  </si>
  <si>
    <t>Target stack</t>
  </si>
  <si>
    <t>Open-source on-premises candidates (PRD §12.2): React/Vite, FastAPI, Keycloak, PostgreSQL/pgvector, Tika/Tesseract, Sentence Transformers, LangGraph, vLLM, Podman. Azure equivalents (§11) if selected [confirm with client].</t>
  </si>
  <si>
    <t>Sprint</t>
  </si>
  <si>
    <t>Dates</t>
  </si>
  <si>
    <t>Sprint goal</t>
  </si>
  <si>
    <t>Demo / exit check</t>
  </si>
  <si>
    <t>Key PRD requirements</t>
  </si>
  <si>
    <t>Tasks (#)</t>
  </si>
  <si>
    <t>Sprint 1</t>
  </si>
  <si>
    <t>Phase 0 "Align &amp; prepare" + platform foundation: repo/CI, Podman dev environment, React/Vite UI shell, FastAPI skeleton, SSO (Keycloak or Entra ID [confirm with client]), PostgreSQL/pgvector schema, audit log baseline, project/role-based authorization.</t>
  </si>
  <si>
    <t>Login via SSO → UI shell → authorized API call → audit entry visible; negative authorization tests green in CI.</t>
  </si>
  <si>
    <t>FR-01, FR-02, FR-03, FR-30, NFR-01, NFR-02, NFR-07</t>
  </si>
  <si>
    <t>Sprint 2</t>
  </si>
  <si>
    <t>Start Phase 1 "Trusted research foundation": document ingestion (Tika/Tesseract or Document Intelligence), chunking + embeddings, hybrid retrieval, evidence Q&amp;A with citations/provenance via LangGraph with human-review gate, scientist UI question → cited answer, tests.</t>
  </si>
  <si>
    <t>Ingest approved document → ask question → cited answer with provenance → review gate → audit trail, demoed to scientists.</t>
  </si>
  <si>
    <t>FR-04, FR-05, FR-06, FR-08, FR-10, FR-11, FR-12, FR-28, NFR-06, NFR-10, NFR-12, NFR-13</t>
  </si>
  <si>
    <t>Developer</t>
  </si>
  <si>
    <t>Focus area</t>
  </si>
  <si>
    <t>Capacity (h)</t>
  </si>
  <si>
    <t>Planned (h)</t>
  </si>
  <si>
    <t>Utilisation</t>
  </si>
  <si>
    <t>Backend, AI &amp; data – FastAPI, schema, authorization, audit, ingestion, retrieval, LangGraph</t>
  </si>
  <si>
    <t>Frontend, platform &amp; DevOps – CI/CD, Podman, UI shell, SSO, audit UI, Q&amp;A UI, E2E tests</t>
  </si>
  <si>
    <t>Ceremony</t>
  </si>
  <si>
    <t>When</t>
  </si>
  <si>
    <t>Purpose / agenda</t>
  </si>
  <si>
    <t>Who</t>
  </si>
  <si>
    <t>Timebox</t>
  </si>
  <si>
    <t>Hours / sprint</t>
  </si>
  <si>
    <t>Sprint planning</t>
  </si>
  <si>
    <t>Monday 10:00</t>
  </si>
  <si>
    <t>Agree sprint goal, pull and estimate backlog items, confirm owners and dependencies.</t>
  </si>
  <si>
    <t>Krishna, Nivas (+ product owner)</t>
  </si>
  <si>
    <t>2 h</t>
  </si>
  <si>
    <t>Daily stand-up</t>
  </si>
  <si>
    <t>Mon–Fri 09:30</t>
  </si>
  <si>
    <t>Yesterday / today / blockers; update Status in the backlog.</t>
  </si>
  <si>
    <t>Krishna, Nivas</t>
  </si>
  <si>
    <t>15 min</t>
  </si>
  <si>
    <t>Sprint review / demo + retrospective</t>
  </si>
  <si>
    <t>Friday 14:00–16:00</t>
  </si>
  <si>
    <t>Demo working increment to stakeholders/scientists; retro: keep / improve / try; refine next backlog.</t>
  </si>
  <si>
    <t>Krishna, Nivas, stakeholders</t>
  </si>
  <si>
    <t>1 h demo + 1 h retro</t>
  </si>
  <si>
    <t>Type</t>
  </si>
  <si>
    <t>ID</t>
  </si>
  <si>
    <t>Assumption / risk / dependency</t>
  </si>
  <si>
    <t>PRD link</t>
  </si>
  <si>
    <t>Impact &amp; mitigation</t>
  </si>
  <si>
    <t>Needed by</t>
  </si>
  <si>
    <t>Dependency</t>
  </si>
  <si>
    <t>D-01</t>
  </si>
  <si>
    <t>Client approval of authorized sources (regulatory, licensed literature, internal documents) for ingestion</t>
  </si>
  <si>
    <t>FR-04, R-04, §17.3</t>
  </si>
  <si>
    <t>Blocks real-document ingestion in Sprint 2; mitigate with approved public/sample documents and record authorization basis per item.</t>
  </si>
  <si>
    <t>D-02</t>
  </si>
  <si>
    <t>Language model selection and licence approval (open-weight via vLLM, or Azure OpenAI)</t>
  </si>
  <si>
    <t>NFR-15, NFR-21, R-08</t>
  </si>
  <si>
    <t>Needed for S2-09; build behind a model adapter and use a licence-cleared local dev model until approval.</t>
  </si>
  <si>
    <t>D-03</t>
  </si>
  <si>
    <t>ELN / LIMS access – read-only APIs or exports and data-owner approval</t>
  </si>
  <si>
    <t>FR-09, R-05, §17.3</t>
  </si>
  <si>
    <t>Not needed in Sprints 1–2; request now so Phase 3 integration is not delayed.</t>
  </si>
  <si>
    <t>D-04</t>
  </si>
  <si>
    <t>Identity provider choice: Keycloak vs Entra ID [confirm with client]</t>
  </si>
  <si>
    <t>FR-02, NFR-01</t>
  </si>
  <si>
    <t>Needed for S1-09; implement generic OIDC with a Keycloak dev realm so switching is configuration only.</t>
  </si>
  <si>
    <t>Assumption</t>
  </si>
  <si>
    <t>A-01</t>
  </si>
  <si>
    <t>Each developer has ~6 focus hours/day for 5 days per sprint; plan loaded to ~80–85% to absorb unknowns.</t>
  </si>
  <si>
    <t>—</t>
  </si>
  <si>
    <t>If capacity drops, defer Should items (S1-12, S1-14, S2-11, S2-13) first.</t>
  </si>
  <si>
    <t>A-02</t>
  </si>
  <si>
    <t>A scientist/SME joins the Sprint 2 demo and reviews sample cited answers.</t>
  </si>
  <si>
    <t>NFR-12, NFR-13</t>
  </si>
  <si>
    <t>Without SME review the human-review gate is demoed with test reviewers only.</t>
  </si>
  <si>
    <t>A-03</t>
  </si>
  <si>
    <t>Development runs on Linux + Podman in a non-production environment; no regulated data in dev.</t>
  </si>
  <si>
    <t>NFR-04, NFR-22</t>
  </si>
  <si>
    <t>Use synthetic or approved public documents; production hardening is out of scope for these sprints.</t>
  </si>
  <si>
    <t>Risk</t>
  </si>
  <si>
    <t>R-01</t>
  </si>
  <si>
    <t>LLM produces unsupported or inaccurate statements</t>
  </si>
  <si>
    <t>R-01, FR-11, NFR-13</t>
  </si>
  <si>
    <t>Citation validation step, uncited-claim flagging and mandatory human review gate (S2-09, S2-10).</t>
  </si>
  <si>
    <t>R-02</t>
  </si>
  <si>
    <t>Confidential content leaks via retrieval or model context</t>
  </si>
  <si>
    <t>R-02, FR-10, NFR-06</t>
  </si>
  <si>
    <t>Authorization filters applied in SQL before model access; leakage test suite (S2-12).</t>
  </si>
  <si>
    <t>R-03</t>
  </si>
  <si>
    <t>OCR / extraction errors enter answers</t>
  </si>
  <si>
    <t>R-03, FR-05, FR-07</t>
  </si>
  <si>
    <t>Record extraction uncertainty now; scientist verification queue (FR-07) planned for the next sprint.</t>
  </si>
  <si>
    <t>Sprint Backlog – Pharmaceutical AI Platform (Sprints 1–2)</t>
  </si>
  <si>
    <t>Est. hours are per person; tasks owned by "Both" count in full for each developer. Status options: Not started / In progress / Blocked / Done.</t>
  </si>
  <si>
    <t>Epic</t>
  </si>
  <si>
    <t>User story / task</t>
  </si>
  <si>
    <t>Description</t>
  </si>
  <si>
    <t>Linked PRD req</t>
  </si>
  <si>
    <t>Owner</t>
  </si>
  <si>
    <t>Priority</t>
  </si>
  <si>
    <t>Story points</t>
  </si>
  <si>
    <t>Est. hours</t>
  </si>
  <si>
    <t>Start date</t>
  </si>
  <si>
    <t>End date</t>
  </si>
  <si>
    <t>Status</t>
  </si>
  <si>
    <t>Acceptance criteria / Definition of done</t>
  </si>
  <si>
    <t>Dependencies</t>
  </si>
  <si>
    <t>S1-01</t>
  </si>
  <si>
    <t>Sprint ceremonies</t>
  </si>
  <si>
    <t>Sprint 1 planning &amp; PRD walkthrough</t>
  </si>
  <si>
    <t>Walk through PRD sections 8, 9, 11-12 and 15; agree Sprint 1 goal, task breakdown, estimates and Definition of Done.</t>
  </si>
  <si>
    <t>PRD §15 Phase 0</t>
  </si>
  <si>
    <t>Both</t>
  </si>
  <si>
    <t>Must</t>
  </si>
  <si>
    <t>Not started</t>
  </si>
  <si>
    <t>Sprint goal agreed; all S1 tasks estimated and owned; DoD (code reviewed, tests in CI, docs updated) agreed.</t>
  </si>
  <si>
    <t>None</t>
  </si>
  <si>
    <t>S1-02</t>
  </si>
  <si>
    <t>Daily stand-ups (5 × 15 min)</t>
  </si>
  <si>
    <t>15-minute daily stand-up at 09:30: progress, plan, blockers; update Status column.</t>
  </si>
  <si>
    <t>Stand-up held each day; blockers logged on the board within the day.</t>
  </si>
  <si>
    <t>S1-03</t>
  </si>
  <si>
    <t>Phase 0 – Align &amp; prepare</t>
  </si>
  <si>
    <t>Phase 0 alignment: scope, sources, access &amp; success criteria</t>
  </si>
  <si>
    <t>Confirm users, product scope, data owners, approved sources, identity provider, model licence route and success measures; log decisions and open items for the client.</t>
  </si>
  <si>
    <t>FR-04, NFR-15, NFR-21, PRD §15 Phase 0</t>
  </si>
  <si>
    <t>Decision log shared with client; open questions (IdP, model licence, source approval, ELN access) have owners and due dates.</t>
  </si>
  <si>
    <t>Client stakeholder availability</t>
  </si>
  <si>
    <t>S1-04</t>
  </si>
  <si>
    <t>DevOps &amp; CI/CD</t>
  </si>
  <si>
    <t>Repository, branching &amp; CI pipeline</t>
  </si>
  <si>
    <t>Mono-repo (ui/, api/, infra/), branch protection, PR template; CI runs lint, unit tests, build and secret scanning on every PR.</t>
  </si>
  <si>
    <t>NFR-03, NFR-21</t>
  </si>
  <si>
    <t>Nivas</t>
  </si>
  <si>
    <t>PR to main blocked unless CI green; secret scan finds no secrets; dependency licence report generated.</t>
  </si>
  <si>
    <t>S1-05</t>
  </si>
  <si>
    <t>Platform foundation</t>
  </si>
  <si>
    <t>FastAPI backend skeleton</t>
  </si>
  <si>
    <t>FastAPI service with layered structure (routers, services, repositories), settings, health/readiness endpoints, OpenAPI docs and structured logging with OpenTelemetry hooks (redacted).</t>
  </si>
  <si>
    <t>FR-01, NFR-20, NFR-22</t>
  </si>
  <si>
    <t>Krishna</t>
  </si>
  <si>
    <t>/health and /ready return 200 in container; OpenAPI published; unit tests ≥ 80% on skeleton; no sensitive content in logs.</t>
  </si>
  <si>
    <t>S1-06</t>
  </si>
  <si>
    <t>Podman dev environment</t>
  </si>
  <si>
    <t>Podman compose for API, PostgreSQL + pgvector, Keycloak, Nginx reverse proxy and Tika; one-command start with seed data and .env template.</t>
  </si>
  <si>
    <t>NFR-18, NFR-22</t>
  </si>
  <si>
    <t>`make up` starts all services on a clean Linux host in &lt; 10 min; README documents setup; no credentials committed.</t>
  </si>
  <si>
    <t>S1-07</t>
  </si>
  <si>
    <t>Data &amp; audit</t>
  </si>
  <si>
    <t>PostgreSQL/pgvector schema v1 + migrations</t>
  </si>
  <si>
    <t>Alembic migrations for projects, users/roles, memberships, sources, documents &amp; versions, chunks (vector column + access metadata) and audit_events; SQLAlchemy models and scoped repositories.</t>
  </si>
  <si>
    <t>FR-06, FR-08, NFR-10</t>
  </si>
  <si>
    <t>Migrations run up/down cleanly in CI; pgvector extension enabled; ERD committed; repository tests pass.</t>
  </si>
  <si>
    <t>S1-05, S1-06</t>
  </si>
  <si>
    <t>S1-08</t>
  </si>
  <si>
    <t>Scientist UI</t>
  </si>
  <si>
    <t>React/Vite UI shell</t>
  </si>
  <si>
    <t>React + Vite + TypeScript app with routing, layout, navigation and placeholder views for Research &amp; strategy, Trial verification and Report review; API client generated from OpenAPI.</t>
  </si>
  <si>
    <t>FR-01</t>
  </si>
  <si>
    <t>Three workspace views reachable from navigation; app builds in CI; accessible colour contrast; calls /health via API client.</t>
  </si>
  <si>
    <t>S1-04, S1-05</t>
  </si>
  <si>
    <t>S1-09</t>
  </si>
  <si>
    <t>Identity &amp; access</t>
  </si>
  <si>
    <t>SSO integration (OIDC) – Keycloak or Entra ID [confirm with client]</t>
  </si>
  <si>
    <t>OIDC authorization-code + PKCE login in UI, token refresh/logout; Nginx/gateway rejects unauthenticated requests. Built IdP-agnostic; Keycloak realm in dev until client confirms provider.</t>
  </si>
  <si>
    <t>Unauthenticated calls return 401; login → token → API call works end to end; IdP choice recorded [confirm with client].</t>
  </si>
  <si>
    <t>S1-03 (IdP decision), S1-06</t>
  </si>
  <si>
    <t>S1-10</t>
  </si>
  <si>
    <t>Project &amp; role-based authorization in API</t>
  </si>
  <si>
    <t>JWT validation in FastAPI; project membership and role (scientist, reviewer, admin) checks plus object-level guards on every endpoint via dependency injection.</t>
  </si>
  <si>
    <t>FR-03, NFR-02</t>
  </si>
  <si>
    <t>User with valid token cannot read/act on another project's objects (negative tests); roles enforced server-side, not only in UI.</t>
  </si>
  <si>
    <t>S1-07, S1-09</t>
  </si>
  <si>
    <t>S1-11</t>
  </si>
  <si>
    <t>Audit log baseline</t>
  </si>
  <si>
    <t>Append-only audit_events (who, what, when, object, version, outcome) written by a service-layer decorator; kept separate from operational telemetry; UPDATE/DELETE revoked on table.</t>
  </si>
  <si>
    <t>FR-30, NFR-07, NFR-08</t>
  </si>
  <si>
    <t>Login, access and project actions produce audit rows; audit rows cannot be updated or deleted by app role; reconstruction query returns who/what/when.</t>
  </si>
  <si>
    <t>S1-07, S1-10</t>
  </si>
  <si>
    <t>S1-12</t>
  </si>
  <si>
    <t>Audit log viewer (admin) – baseline UI</t>
  </si>
  <si>
    <t>Read-only admin page listing audit events with filters (user, project, action, date) and paging; visible to admin role only.</t>
  </si>
  <si>
    <t>FR-30, NFR-07</t>
  </si>
  <si>
    <t>Should</t>
  </si>
  <si>
    <t>Admin sees filtered audit events; non-admin receives 403; no edit controls exist.</t>
  </si>
  <si>
    <t>S1-08, S1-11</t>
  </si>
  <si>
    <t>S1-13</t>
  </si>
  <si>
    <t>Quality &amp; testing</t>
  </si>
  <si>
    <t>Negative authorization tests in CI</t>
  </si>
  <si>
    <t>Automated API tests proving cross-project and unauthenticated access is refused; run on every PR.</t>
  </si>
  <si>
    <t>NFR-02, FR-03</t>
  </si>
  <si>
    <t>Negative test suite runs in CI and fails the build on any authorization regression.</t>
  </si>
  <si>
    <t>S1-14</t>
  </si>
  <si>
    <t>Ingestion &amp; provenance</t>
  </si>
  <si>
    <t>Spike: extraction &amp; embedding options</t>
  </si>
  <si>
    <t>Compare Apache Tika + Tesseract vs Azure Document Intelligence on 5 sample documents; shortlist Sentence Transformers embedding model; note licences.</t>
  </si>
  <si>
    <t>FR-05, NFR-15, NFR-21</t>
  </si>
  <si>
    <t>Spike note with extraction quality, OCR fallback behaviour, licence status and recommendation for Sprint 2.</t>
  </si>
  <si>
    <t>S1-15</t>
  </si>
  <si>
    <t>Sprint 1 review/demo + retrospective</t>
  </si>
  <si>
    <t>Demo login → UI shell → authorized API call → audit entry; retro and backlog refinement for Sprint 2.</t>
  </si>
  <si>
    <t>Demo delivered to stakeholders; retro actions recorded; Sprint 2 backlog refined.</t>
  </si>
  <si>
    <t>All S1 tasks</t>
  </si>
  <si>
    <t>S2-01</t>
  </si>
  <si>
    <t>Sprint 2 planning &amp; source-approval checkpoint</t>
  </si>
  <si>
    <t>Agree Sprint 2 goal; confirm approved document set and model licence status before ingestion starts.</t>
  </si>
  <si>
    <t>FR-04, PRD §15 Phase 1</t>
  </si>
  <si>
    <t>Sprint goal agreed; approved sample sources listed with authorization basis; fallback agreed if approval pending.</t>
  </si>
  <si>
    <t>S2-02</t>
  </si>
  <si>
    <t>S2-03</t>
  </si>
  <si>
    <t>Document ingestion pipeline</t>
  </si>
  <si>
    <t>Read-only upload/import API; Apache Tika text &amp; table extraction with Tesseract OCR fallback (or Document Intelligence if Azure chosen); stores versioned originals with source, authorization basis, version and extraction uncertainty.</t>
  </si>
  <si>
    <t>FR-04, FR-05, FR-06</t>
  </si>
  <si>
    <t>PDF/DOCX/scanned samples ingested; each item records source, authorization basis and version; original retrievable by version; no writes to source systems.</t>
  </si>
  <si>
    <t>S1-07, S1-14, S2-01</t>
  </si>
  <si>
    <t>S2-04</t>
  </si>
  <si>
    <t>CI/CD: container images &amp; integration stage</t>
  </si>
  <si>
    <t>Build/push API and UI images; integration-test stage with PostgreSQL + pgvector and Tika service containers; tag images per commit.</t>
  </si>
  <si>
    <t>NFR-19, NFR-22</t>
  </si>
  <si>
    <t>Images built and tagged per commit; integration tests run against real Postgres/pgvector in CI.</t>
  </si>
  <si>
    <t>S1-04, S1-06</t>
  </si>
  <si>
    <t>S2-05</t>
  </si>
  <si>
    <t>Document library UI</t>
  </si>
  <si>
    <t>Upload documents into a project, show ingestion status, extracted text preview, extraction-uncertainty flag and version history.</t>
  </si>
  <si>
    <t>FR-05, FR-06, FR-01</t>
  </si>
  <si>
    <t>Scientist uploads a file and sees status → extracted; versions listed; users see only their projects' documents.</t>
  </si>
  <si>
    <t>S2-06</t>
  </si>
  <si>
    <t>Retrieval &amp; RAG</t>
  </si>
  <si>
    <t>Chunking + embeddings into pgvector</t>
  </si>
  <si>
    <t>Section-aware chunking with passage offsets; Sentence Transformers embeddings stored in pgvector with project, document-version and eligibility metadata; ineligible content skipped.</t>
  </si>
  <si>
    <t>FR-08, NFR-06, NFR-10</t>
  </si>
  <si>
    <t>Only eligible passages with access metadata are indexed; each chunk links to document version and offsets; re-ingest is idempotent.</t>
  </si>
  <si>
    <t>S2-07</t>
  </si>
  <si>
    <t>Hybrid retrieval with server-side filters</t>
  </si>
  <si>
    <t>PostgreSQL full-text + pgvector similarity with score fusion and reranking; project/document authorization filters applied in SQL before any content reaches the model.</t>
  </si>
  <si>
    <t>FR-10, NFR-06, FR-15</t>
  </si>
  <si>
    <t>Top-k results relevant on 10-question evaluation set; tests confirm no unauthorized passage returned or passed to the model.</t>
  </si>
  <si>
    <t>S2-06, S1-10</t>
  </si>
  <si>
    <t>S2-08</t>
  </si>
  <si>
    <t>Scientist Q&amp;A UI: question → cited answer</t>
  </si>
  <si>
    <t>Ask a question in project context; display answer with inline citations, citation panel linking to source passage and version, and a gaps &amp; conflicts section.</t>
  </si>
  <si>
    <t>FR-01, FR-11, FR-12, NFR-13</t>
  </si>
  <si>
    <t>Every claim shows a clickable citation opening the passage and version; unsupported claims visibly flagged; gaps section rendered.</t>
  </si>
  <si>
    <t>S2-07, S2-09 (API contract)</t>
  </si>
  <si>
    <t>S2-09</t>
  </si>
  <si>
    <t>Evidence Q&amp;A workflow</t>
  </si>
  <si>
    <t>LangGraph evidence Q&amp;A workflow with human-review gate</t>
  </si>
  <si>
    <t>LangGraph graph: retrieve → draft cited answer → validate citations/schema → interrupt for scientist review; Postgres checkpointer, allowlisted tools, explicit failure states; LLM via vLLM/Azure OpenAI adapter [model licence pending].</t>
  </si>
  <si>
    <t>FR-11, FR-12, FR-28, NFR-12, NFR-13</t>
  </si>
  <si>
    <t>Answers cite retrievable passages; uncited claims flagged; workflow resumes from checkpoint after restart; approval enforced by API; run id stored for provenance.</t>
  </si>
  <si>
    <t>S2-07, model access (D-02)</t>
  </si>
  <si>
    <t>S2-10</t>
  </si>
  <si>
    <t>Human-review gate UI</t>
  </si>
  <si>
    <t>Reviewer actions on an answer: approve, reject or request more evidence with rationale; status and history shown.</t>
  </si>
  <si>
    <t>NFR-12, FR-27, FR-30</t>
  </si>
  <si>
    <t>Review decision with rationale stored and audited; answer cannot be marked reviewed without API approval event.</t>
  </si>
  <si>
    <t>S2-11</t>
  </si>
  <si>
    <t>Audit view extensions for ingestion &amp; review</t>
  </si>
  <si>
    <t>Extend audit viewer with ingestion, retrieval and review events; filter by project and workflow run; export CSV.</t>
  </si>
  <si>
    <t>FR-30, NFR-07, NFR-10</t>
  </si>
  <si>
    <t>Auditor reconstructs who asked, which sources were cited and who approved for a demo answer.</t>
  </si>
  <si>
    <t>S1-12, S2-09</t>
  </si>
  <si>
    <t>S2-12</t>
  </si>
  <si>
    <t>Retrieval security &amp; provenance tests</t>
  </si>
  <si>
    <t>Automated tests: cross-project leakage, ineligible content excluded, every citation resolves to passage + version + workflow run.</t>
  </si>
  <si>
    <t>FR-10, NFR-06, NFR-10</t>
  </si>
  <si>
    <t>Suite green in CI; zero unauthorized passages across test projects; 100% of demo citations resolvable.</t>
  </si>
  <si>
    <t>S2-07, S2-09</t>
  </si>
  <si>
    <t>S2-13</t>
  </si>
  <si>
    <t>End-to-end UI tests</t>
  </si>
  <si>
    <t>Playwright flow: login → upload → ask → cited answer → review decision; runs in CI against the compose stack.</t>
  </si>
  <si>
    <t>NFR-02, NFR-12</t>
  </si>
  <si>
    <t>E2E suite passes in CI; screenshots attached to the sprint demo.</t>
  </si>
  <si>
    <t>S2-08, S2-10</t>
  </si>
  <si>
    <t>S2-14</t>
  </si>
  <si>
    <t>Sprint 2 review/demo + retrospective</t>
  </si>
  <si>
    <t>Demo to scientists: ingest approved document → ask question → cited answer with provenance → review gate → audit trail; retro; refine Phase 1 backlog (verification queue FR-07 next).</t>
  </si>
  <si>
    <t>PRD §15 Phase 1</t>
  </si>
  <si>
    <t>Scientist feedback captured; retro actions recorded; next sprint backlog prioritised.</t>
  </si>
  <si>
    <t>All S2 tasks</t>
  </si>
  <si>
    <t>Daily Schedule – 10 working days (26 Oct – 6 Nov 2026)</t>
  </si>
  <si>
    <t>Dates flow from the Sprint 1 start date on Overview (working days only). Task IDs refer to the Sprint Backlog.</t>
  </si>
  <si>
    <t>Date</t>
  </si>
  <si>
    <t>Day</t>
  </si>
  <si>
    <t>Krishna – backend / AI / data</t>
  </si>
  <si>
    <t>Nivas – frontend / platform / DevOps</t>
  </si>
  <si>
    <t>Ceremony / milestone</t>
  </si>
  <si>
    <t>S1-01 Sprint planning; S1-03 Phase 0 alignment (sources, IdP, model licence); S1-05 FastAPI skeleton – layout, config, health endpoints</t>
  </si>
  <si>
    <t>S1-01 Sprint planning; S1-03 Phase 0 alignment; S1-04 repository, branching &amp; CI pipeline (lint, tests, secret scan)</t>
  </si>
  <si>
    <t>Sprint 1 planning 10:00 (2 h); stand-up 09:30</t>
  </si>
  <si>
    <t>S1-03 Phase 0 decision log; S1-05 OpenAPI, structured logging, OTel hooks; S1-07 start PostgreSQL/pgvector schema</t>
  </si>
  <si>
    <t>S1-04 CI pipeline complete; S1-06 Podman dev environment (API, Postgres/pgvector, Keycloak, Nginx, Tika)</t>
  </si>
  <si>
    <t>Stand-up; identity provider decision needed – Keycloak vs Entra ID [confirm with client]</t>
  </si>
  <si>
    <t>S1-07 schema v1 + Alembic migrations; S1-10 start JWT validation &amp; project/role authorization</t>
  </si>
  <si>
    <t>S1-06 dev environment complete; S1-08 React/Vite UI shell; S1-09 start OIDC SSO integration</t>
  </si>
  <si>
    <t>Stand-up; milestone: one-command dev environment ready</t>
  </si>
  <si>
    <t>S1-10 authorization middleware + object-level checks; S1-11 audit log baseline (append-only)</t>
  </si>
  <si>
    <t>S1-08 three workspace views; S1-09 SSO login, token refresh, gateway check; S1-12 start audit viewer</t>
  </si>
  <si>
    <t>Stand-up; milestone: login → authorized API call end to end</t>
  </si>
  <si>
    <t>S1-11 audit baseline complete; S1-14 extraction &amp; embedding spike; S1-15 demo &amp; retro</t>
  </si>
  <si>
    <t>S1-12 audit viewer; S1-13 negative authorization tests in CI; S1-15 demo &amp; retro</t>
  </si>
  <si>
    <t>Sprint 1 review/demo 14:00 + retrospective 15:00; client source approval due</t>
  </si>
  <si>
    <t>S2-01 Sprint planning; S2-03 ingestion pipeline – upload/import API, Tika extraction, versioned originals</t>
  </si>
  <si>
    <t>S2-01 Sprint planning; S2-04 CI/CD container images + integration-test stage (pgvector, Tika)</t>
  </si>
  <si>
    <t>Sprint 2 planning 10:00 (2 h); model licence decision needed</t>
  </si>
  <si>
    <t>S2-03 Tesseract OCR fallback, provenance &amp; extraction uncertainty; S2-06 start chunking</t>
  </si>
  <si>
    <t>S2-05 document library UI (upload, status, versions)</t>
  </si>
  <si>
    <t>Stand-up</t>
  </si>
  <si>
    <t>S2-06 chunking + embeddings into pgvector with access metadata; S2-07 start hybrid retrieval</t>
  </si>
  <si>
    <t>S2-05 library UI complete; S2-08 start scientist Q&amp;A UI</t>
  </si>
  <si>
    <t>Stand-up; milestone: ingest → index flow working</t>
  </si>
  <si>
    <t>S2-07 hybrid retrieval, reranking &amp; server-side filters; S2-09 LangGraph evidence Q&amp;A workflow</t>
  </si>
  <si>
    <t>S2-08 Q&amp;A UI with citation panel &amp; gaps section; S2-10 human-review gate UI</t>
  </si>
  <si>
    <t>Stand-up; milestone: question → cited answer end to end</t>
  </si>
  <si>
    <t>S2-09 checkpoints, review interrupt &amp; audit events; S2-12 retrieval security &amp; provenance tests; S2-14 demo &amp; retro</t>
  </si>
  <si>
    <t>S2-11 audit view extensions; S2-13 end-to-end UI tests; S2-14 demo &amp; retro</t>
  </si>
  <si>
    <t>Sprint 2 review/demo with scientists 14:00 + retrospective 15:00</t>
  </si>
  <si>
    <t>Gantt – Sprint 1 &amp; Sprint 2 task timeline by owner</t>
  </si>
  <si>
    <t>Legend</t>
  </si>
  <si>
    <t>Bars are driven by Start/End dates in the Sprint Backlog →</t>
  </si>
  <si>
    <t>Sprint 1 (26–30 Oct)</t>
  </si>
  <si>
    <t>Sprint 2 (2–6 Nov)</t>
  </si>
  <si>
    <t>Task</t>
  </si>
  <si>
    <t>Start</t>
  </si>
  <si>
    <t>End</t>
  </si>
  <si>
    <t>Capacity &amp; Utilisation – Krishna and Nivas, Sprints 1–2</t>
  </si>
  <si>
    <t>Planned hours come live from the Sprint Backlog (SUMIFS). "Both" tasks count in full for each developer. Utilisation above the threshold turns red.</t>
  </si>
  <si>
    <t>Capacity inputs</t>
  </si>
  <si>
    <t>Value</t>
  </si>
  <si>
    <t>Unit / note</t>
  </si>
  <si>
    <t>Focus hours per day</t>
  </si>
  <si>
    <t>h/day per developer</t>
  </si>
  <si>
    <t>Working days per sprint</t>
  </si>
  <si>
    <t>days (Mon–Fri)</t>
  </si>
  <si>
    <t>Target load</t>
  </si>
  <si>
    <t>of available hours (~80%)</t>
  </si>
  <si>
    <t>Over-allocation threshold</t>
  </si>
  <si>
    <t>red above this</t>
  </si>
  <si>
    <t>Available (h)</t>
  </si>
  <si>
    <t>Target (h)</t>
  </si>
  <si>
    <t>Own tasks (h)</t>
  </si>
  <si>
    <t>Shared "Both" (h)</t>
  </si>
  <si>
    <t>Utilisation %</t>
  </si>
  <si>
    <t>Buffer (h)</t>
  </si>
  <si>
    <t>Load status</t>
  </si>
  <si>
    <t>Total (both developers)</t>
  </si>
  <si>
    <t>Sprints 1–2</t>
  </si>
  <si>
    <t>Check: person-hours in backlog minus planned (should be 0)</t>
  </si>
  <si>
    <t>Note: daily stand-ups (1.25 h), planning (2 h) and review/retro (2 h) are included as "Both" tasks, so ~5 h of each sprint goes to ceremonies.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</si>
</sst>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#"/>
    <numFmt numFmtId="165" formatCode="ddd\ d\ mmm\ yyyy"/>
    <numFmt numFmtId="166" formatCode="#,##0.0#"/>
    <numFmt numFmtId="167" formatCode="#,##0.0#;\(#,##0.0#\);\-"/>
    <numFmt numFmtId="168" formatCode="0.0%"/>
    <numFmt numFmtId="169" formatCode="0.0#;\-0.0#;0"/>
    <numFmt numFmtId="170" formatCode="d\ mmm\ yyyy"/>
    <numFmt numFmtId="171" formatCode="ddd\ d\ mmm"/>
    <numFmt numFmtId="172" formatCode="d\ mmm"/>
  </numFmts>
  <fonts count="14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i/>
      <sz val="11"/>
      <color rgb="FF334155"/>
      <name val="Calibri"/>
    </font>
    <font>
      <sz val="11"/>
      <color rgb="FF0000FF"/>
      <name val="Calibri"/>
    </font>
    <font>
      <i/>
      <sz val="11"/>
      <color rgb="FF475569"/>
      <name val="Calibri"/>
    </font>
    <font>
      <b/>
      <sz val="11"/>
      <color rgb="FF0F766E"/>
      <name val="Calibri"/>
    </font>
    <font>
      <b/>
      <sz val="11"/>
      <color rgb="FF1A1A2E"/>
      <name val="Calibri"/>
    </font>
    <font>
      <b/>
      <sz val="9"/>
      <color theme="1"/>
      <name val="Calibri"/>
    </font>
    <font>
      <b/>
      <sz val="18"/>
      <color rgb="FFFFFFFF"/>
      <name val="Calibri"/>
    </font>
    <font>
      <b/>
      <sz val="11"/>
      <color rgb="FF1F2A5C"/>
      <name val="Calibri"/>
    </font>
    <font>
      <i/>
      <sz val="11"/>
      <color rgb="FF64748B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2A5C"/>
        <bgColor indexed="64"/>
      </patternFill>
    </fill>
    <fill>
      <patternFill patternType="solid">
        <fgColor rgb="FFE6F4F2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EF1F8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0F9D8F"/>
        <bgColor indexed="64"/>
      </patternFill>
    </fill>
    <fill>
      <patternFill patternType="solid">
        <fgColor rgb="FFF2A541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rgb="FFCBD5E1"/>
      </top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/>
      <top style="thin">
        <color rgb="FF0F766E"/>
      </top>
      <bottom style="thin">
        <color rgb="FFCBD5E1"/>
      </bottom>
      <diagonal/>
    </border>
    <border>
      <left style="thin">
        <color rgb="FFCBD5E1"/>
      </left>
      <right/>
      <top style="thin">
        <color rgb="FF0F766E"/>
      </top>
      <bottom style="thin">
        <color rgb="FFCBD5E1"/>
      </bottom>
      <diagonal/>
    </border>
    <border>
      <left/>
      <right style="thin">
        <color rgb="FFCBD5E1"/>
      </right>
      <top style="thin">
        <color rgb="FF0F766E"/>
      </top>
      <bottom style="thin">
        <color rgb="FFCBD5E1"/>
      </bottom>
      <diagonal/>
    </border>
    <border>
      <left/>
      <right/>
      <top/>
      <bottom style="medium">
        <color rgb="FF0F766E"/>
      </bottom>
      <diagonal/>
    </border>
    <border>
      <left style="thin">
        <color rgb="FFCBD5E1"/>
      </left>
      <right/>
      <top/>
      <bottom style="medium">
        <color rgb="FF0F766E"/>
      </bottom>
      <diagonal/>
    </border>
    <border>
      <left/>
      <right style="thin">
        <color rgb="FFCBD5E1"/>
      </right>
      <top/>
      <bottom style="medium">
        <color rgb="FF0F766E"/>
      </bottom>
      <diagonal/>
    </border>
    <border>
      <left/>
      <right/>
      <top style="thin">
        <color rgb="FFE2E8F0"/>
      </top>
      <bottom/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 style="thin">
        <color rgb="FFE2E8F0"/>
      </left>
      <right/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medium">
        <color rgb="FF0F766E"/>
      </right>
      <top/>
      <bottom/>
      <diagonal/>
    </border>
    <border>
      <left/>
      <right style="medium">
        <color rgb="FF0F766E"/>
      </right>
      <top style="thin">
        <color rgb="FFE2E8F0"/>
      </top>
      <bottom/>
      <diagonal/>
    </border>
    <border>
      <left/>
      <right style="medium">
        <color rgb="FF0F766E"/>
      </right>
      <top/>
      <bottom style="thin">
        <color rgb="FFE2E8F0"/>
      </bottom>
      <diagonal/>
    </border>
    <border>
      <left style="thin">
        <color rgb="FFE2E8F0"/>
      </left>
      <right/>
      <top/>
      <bottom style="medium">
        <color rgb="FF0F766E"/>
      </bottom>
      <diagonal/>
    </border>
    <border>
      <left/>
      <right style="medium">
        <color rgb="FF0F766E"/>
      </right>
      <top/>
      <bottom style="medium">
        <color rgb="FF0F766E"/>
      </bottom>
      <diagonal/>
    </border>
    <border>
      <left/>
      <right style="thin">
        <color rgb="FFE2E8F0"/>
      </right>
      <top/>
      <bottom style="medium">
        <color rgb="FF0F766E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4" fillId="2" borderId="0" xfId="0" applyFont="1" applyFill="1" applyAlignment="1">
      <alignment vertical="center"/>
    </xf>
    <xf numFmtId="0" fontId="5" fillId="3" borderId="0" xfId="0" applyFont="1" applyFill="1" applyAlignment="1">
      <alignment vertical="top"/>
    </xf>
    <xf numFmtId="0" fontId="1" fillId="0" borderId="0" xfId="0" applyFont="1" applyAlignment="1">
      <alignment vertical="top" wrapText="1"/>
    </xf>
    <xf numFmtId="1" fontId="1" fillId="0" borderId="0" xfId="0" applyNumberFormat="1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165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wrapText="1"/>
    </xf>
    <xf numFmtId="0" fontId="3" fillId="4" borderId="0" xfId="0" applyFont="1" applyFill="1"/>
    <xf numFmtId="0" fontId="1" fillId="0" borderId="0" xfId="0" applyFont="1" applyBorder="1"/>
    <xf numFmtId="1" fontId="6" fillId="0" borderId="0" xfId="0" applyNumberFormat="1" applyFont="1" applyBorder="1" applyAlignment="1">
      <alignment horizontal="center"/>
    </xf>
    <xf numFmtId="9" fontId="6" fillId="0" borderId="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9" fontId="6" fillId="0" borderId="2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66" fontId="1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center"/>
    </xf>
    <xf numFmtId="167" fontId="1" fillId="0" borderId="0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1" fillId="5" borderId="0" xfId="0" applyFont="1" applyFill="1" applyBorder="1"/>
    <xf numFmtId="166" fontId="1" fillId="5" borderId="0" xfId="0" applyNumberFormat="1" applyFont="1" applyFill="1" applyBorder="1" applyAlignment="1">
      <alignment horizontal="center"/>
    </xf>
    <xf numFmtId="168" fontId="2" fillId="5" borderId="0" xfId="0" applyNumberFormat="1" applyFont="1" applyFill="1" applyBorder="1" applyAlignment="1">
      <alignment horizontal="center"/>
    </xf>
    <xf numFmtId="167" fontId="1" fillId="5" borderId="0" xfId="0" applyNumberFormat="1" applyFont="1" applyFill="1" applyBorder="1" applyAlignment="1">
      <alignment horizontal="center"/>
    </xf>
    <xf numFmtId="1" fontId="1" fillId="5" borderId="0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6" borderId="9" xfId="0" applyFont="1" applyFill="1" applyBorder="1"/>
    <xf numFmtId="166" fontId="2" fillId="6" borderId="9" xfId="0" applyNumberFormat="1" applyFont="1" applyFill="1" applyBorder="1" applyAlignment="1">
      <alignment horizontal="center"/>
    </xf>
    <xf numFmtId="168" fontId="2" fillId="6" borderId="9" xfId="0" applyNumberFormat="1" applyFont="1" applyFill="1" applyBorder="1" applyAlignment="1">
      <alignment horizontal="center"/>
    </xf>
    <xf numFmtId="167" fontId="2" fillId="6" borderId="9" xfId="0" applyNumberFormat="1" applyFont="1" applyFill="1" applyBorder="1" applyAlignment="1">
      <alignment horizontal="center"/>
    </xf>
    <xf numFmtId="1" fontId="2" fillId="6" borderId="9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1" fillId="5" borderId="4" xfId="0" applyFont="1" applyFill="1" applyBorder="1"/>
    <xf numFmtId="0" fontId="2" fillId="6" borderId="10" xfId="0" applyFont="1" applyFill="1" applyBorder="1"/>
    <xf numFmtId="0" fontId="3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169" fontId="2" fillId="0" borderId="0" xfId="0" applyNumberFormat="1" applyFont="1" applyAlignment="1">
      <alignment horizontal="center"/>
    </xf>
    <xf numFmtId="0" fontId="7" fillId="0" borderId="0" xfId="0" applyFont="1"/>
    <xf numFmtId="0" fontId="1" fillId="0" borderId="12" xfId="0" applyFont="1" applyBorder="1" applyAlignment="1">
      <alignment horizontal="center" vertical="top"/>
    </xf>
    <xf numFmtId="0" fontId="1" fillId="0" borderId="12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vertical="top" wrapText="1"/>
    </xf>
    <xf numFmtId="0" fontId="1" fillId="5" borderId="0" xfId="0" applyFont="1" applyFill="1" applyBorder="1" applyAlignment="1">
      <alignment horizontal="center" vertical="top"/>
    </xf>
    <xf numFmtId="0" fontId="1" fillId="5" borderId="0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3" fillId="2" borderId="3" xfId="0" applyFont="1" applyFill="1" applyBorder="1" applyAlignment="1">
      <alignment horizontal="center" vertical="center"/>
    </xf>
    <xf numFmtId="170" fontId="1" fillId="0" borderId="4" xfId="0" applyNumberFormat="1" applyFont="1" applyBorder="1" applyAlignment="1">
      <alignment horizontal="center" vertical="top"/>
    </xf>
    <xf numFmtId="170" fontId="1" fillId="5" borderId="4" xfId="0" applyNumberFormat="1" applyFont="1" applyFill="1" applyBorder="1" applyAlignment="1">
      <alignment horizontal="center" vertical="top"/>
    </xf>
    <xf numFmtId="170" fontId="1" fillId="0" borderId="13" xfId="0" applyNumberFormat="1" applyFont="1" applyBorder="1" applyAlignment="1">
      <alignment horizontal="center" vertical="top"/>
    </xf>
    <xf numFmtId="170" fontId="1" fillId="0" borderId="5" xfId="0" applyNumberFormat="1" applyFont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center"/>
    </xf>
    <xf numFmtId="0" fontId="8" fillId="0" borderId="7" xfId="0" applyFont="1" applyBorder="1" applyAlignment="1">
      <alignment vertical="top" wrapText="1"/>
    </xf>
    <xf numFmtId="0" fontId="8" fillId="5" borderId="7" xfId="0" applyFont="1" applyFill="1" applyBorder="1" applyAlignment="1">
      <alignment vertical="top" wrapText="1"/>
    </xf>
    <xf numFmtId="0" fontId="8" fillId="0" borderId="14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5" fillId="3" borderId="0" xfId="0" applyFont="1" applyFill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1" fontId="3" fillId="2" borderId="0" xfId="0" applyNumberFormat="1" applyFont="1" applyFill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172" fontId="1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172" fontId="1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172" fontId="1" fillId="0" borderId="16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71" fontId="3" fillId="2" borderId="23" xfId="0" applyNumberFormat="1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172" fontId="1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3" fillId="4" borderId="0" xfId="0" applyFont="1" applyFill="1" applyAlignment="1">
      <alignment vertical="top"/>
    </xf>
    <xf numFmtId="0" fontId="12" fillId="0" borderId="0" xfId="0" applyFont="1" applyAlignment="1">
      <alignment vertical="top"/>
    </xf>
    <xf numFmtId="165" fontId="6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0" fontId="13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Border="1" applyAlignment="1">
      <alignment vertical="top"/>
    </xf>
    <xf numFmtId="0" fontId="1" fillId="5" borderId="0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 wrapText="1"/>
    </xf>
    <xf numFmtId="0" fontId="2" fillId="0" borderId="4" xfId="0" applyFont="1" applyBorder="1" applyAlignment="1">
      <alignment vertical="top"/>
    </xf>
    <xf numFmtId="0" fontId="2" fillId="5" borderId="5" xfId="0" applyFont="1" applyFill="1" applyBorder="1" applyAlignment="1">
      <alignment vertical="top"/>
    </xf>
    <xf numFmtId="1" fontId="1" fillId="0" borderId="7" xfId="0" applyNumberFormat="1" applyFont="1" applyBorder="1" applyAlignment="1">
      <alignment horizontal="center" vertical="top"/>
    </xf>
    <xf numFmtId="1" fontId="1" fillId="5" borderId="8" xfId="0" applyNumberFormat="1" applyFont="1" applyFill="1" applyBorder="1" applyAlignment="1">
      <alignment horizontal="center" vertical="top"/>
    </xf>
    <xf numFmtId="166" fontId="1" fillId="0" borderId="0" xfId="0" applyNumberFormat="1" applyFont="1" applyBorder="1" applyAlignment="1">
      <alignment horizontal="center" vertical="top"/>
    </xf>
    <xf numFmtId="166" fontId="1" fillId="5" borderId="0" xfId="0" applyNumberFormat="1" applyFont="1" applyFill="1" applyBorder="1" applyAlignment="1">
      <alignment horizontal="center" vertical="top"/>
    </xf>
    <xf numFmtId="166" fontId="1" fillId="5" borderId="2" xfId="0" applyNumberFormat="1" applyFont="1" applyFill="1" applyBorder="1" applyAlignment="1">
      <alignment horizontal="center" vertical="top"/>
    </xf>
    <xf numFmtId="0" fontId="1" fillId="0" borderId="4" xfId="0" applyFont="1" applyBorder="1" applyAlignment="1">
      <alignment vertical="top"/>
    </xf>
    <xf numFmtId="0" fontId="1" fillId="5" borderId="4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168" fontId="2" fillId="0" borderId="7" xfId="0" applyNumberFormat="1" applyFont="1" applyBorder="1" applyAlignment="1">
      <alignment horizontal="center" vertical="top"/>
    </xf>
    <xf numFmtId="168" fontId="2" fillId="5" borderId="7" xfId="0" applyNumberFormat="1" applyFont="1" applyFill="1" applyBorder="1" applyAlignment="1">
      <alignment horizontal="center" vertical="top"/>
    </xf>
    <xf numFmtId="168" fontId="2" fillId="5" borderId="8" xfId="0" applyNumberFormat="1" applyFont="1" applyFill="1" applyBorder="1" applyAlignment="1">
      <alignment horizontal="center"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164" fontId="1" fillId="0" borderId="7" xfId="0" applyNumberFormat="1" applyFont="1" applyBorder="1" applyAlignment="1">
      <alignment horizontal="center" vertical="top"/>
    </xf>
    <xf numFmtId="164" fontId="1" fillId="5" borderId="7" xfId="0" applyNumberFormat="1" applyFont="1" applyFill="1" applyBorder="1" applyAlignment="1">
      <alignment horizontal="center" vertical="top"/>
    </xf>
    <xf numFmtId="164" fontId="1" fillId="0" borderId="8" xfId="0" applyNumberFormat="1" applyFont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170" fontId="1" fillId="0" borderId="7" xfId="0" applyNumberFormat="1" applyFont="1" applyBorder="1" applyAlignment="1">
      <alignment horizontal="center" vertical="top"/>
    </xf>
    <xf numFmtId="170" fontId="1" fillId="5" borderId="7" xfId="0" applyNumberFormat="1" applyFont="1" applyFill="1" applyBorder="1" applyAlignment="1">
      <alignment horizontal="center" vertical="top"/>
    </xf>
    <xf numFmtId="170" fontId="1" fillId="5" borderId="8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33"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1A1A2E"/>
      </font>
      <fill>
        <patternFill patternType="solid">
          <fgColor indexed="64"/>
          <bgColor rgb="FFF2A541"/>
        </patternFill>
      </fill>
    </dxf>
    <dxf>
      <font>
        <b/>
        <i val="0"/>
        <color rgb="FF1A1A2E"/>
      </font>
      <fill>
        <patternFill patternType="solid">
          <fgColor indexed="64"/>
          <bgColor rgb="FFF2A541"/>
        </patternFill>
      </fill>
    </dxf>
    <dxf>
      <font>
        <b/>
        <i val="0"/>
        <color rgb="FFFFFFFF"/>
      </font>
      <fill>
        <patternFill patternType="solid">
          <fgColor indexed="64"/>
          <bgColor rgb="FF0F9D8F"/>
        </patternFill>
      </fill>
    </dxf>
    <dxf>
      <font>
        <b/>
        <i val="0"/>
        <color rgb="FFFFFFFF"/>
      </font>
      <fill>
        <patternFill patternType="solid">
          <fgColor indexed="64"/>
          <bgColor rgb="FF0F9D8F"/>
        </patternFill>
      </fill>
    </dxf>
    <dxf>
      <font>
        <b/>
        <i val="0"/>
        <color rgb="FFFFFFFF"/>
      </font>
      <fill>
        <patternFill patternType="solid">
          <fgColor indexed="64"/>
          <bgColor rgb="FF1F4E79"/>
        </patternFill>
      </fill>
    </dxf>
    <dxf>
      <font>
        <b/>
        <i val="0"/>
        <color rgb="FFFFFFFF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ddd\ d\ mmm\ yyyy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ddd\ d\ mmm\ yyyy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#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2A5C"/>
        </patternFill>
      </fill>
      <alignment horizontal="center" vertical="center" textRotation="0" wrapText="1" indent="0" justifyLastLine="0" shrinkToFit="0" readingOrder="0"/>
    </dxf>
    <dxf>
      <font>
        <b/>
        <i val="0"/>
        <color rgb="FF7A5C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1A1A2E"/>
      </font>
      <fill>
        <patternFill patternType="solid">
          <fgColor indexed="64"/>
          <bgColor rgb="FFF2A541"/>
        </patternFill>
      </fill>
    </dxf>
    <dxf>
      <font>
        <b/>
        <i val="0"/>
        <color rgb="FFFFFFFF"/>
      </font>
      <fill>
        <patternFill patternType="solid">
          <fgColor indexed="64"/>
          <bgColor rgb="FF0F9D8F"/>
        </patternFill>
      </fill>
    </dxf>
    <dxf>
      <font>
        <b/>
        <i val="0"/>
        <color rgb="FFFFFFFF"/>
      </font>
      <fill>
        <patternFill patternType="solid">
          <fgColor indexed="64"/>
          <bgColor rgb="FF1F4E79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A45FAD-4B69-4BD8-8944-B35738DD17EB}" name="SprintBacklog" displayName="SprintBacklog" ref="A3:O32" totalsRowShown="0" headerRowDxfId="24">
  <autoFilter ref="A3:O32" xr:uid="{ADA45FAD-4B69-4BD8-8944-B35738DD17EB}"/>
  <tableColumns count="15">
    <tableColumn id="1" xr3:uid="{6F9C679F-EAB5-44D7-9AC6-F37CC453D9E4}" name="ID" dataDxfId="23"/>
    <tableColumn id="2" xr3:uid="{31883E26-2D07-4B17-B39F-CC12CEB067EF}" name="Sprint" dataDxfId="22"/>
    <tableColumn id="3" xr3:uid="{2CB148EA-C26B-4AE3-BAA9-90FBD60915A4}" name="Epic" dataDxfId="21"/>
    <tableColumn id="4" xr3:uid="{A17FD86D-7419-47B5-A770-0FE32C00662C}" name="User story / task" dataDxfId="20"/>
    <tableColumn id="5" xr3:uid="{C7D3DEBA-221B-412A-A5FB-F5AD1A9D0C92}" name="Description" dataDxfId="19"/>
    <tableColumn id="6" xr3:uid="{AC9FE30A-BC11-4289-AA97-EBE15C3526C9}" name="Linked PRD req" dataDxfId="18"/>
    <tableColumn id="7" xr3:uid="{F1D3FEC8-4142-40A2-96E4-57C3AC0F0658}" name="Owner" dataDxfId="17"/>
    <tableColumn id="8" xr3:uid="{7EE27182-3CE9-41FF-8AD7-D652B1670B52}" name="Priority" dataDxfId="16"/>
    <tableColumn id="9" xr3:uid="{F8CB5ABC-8822-4F3F-B49F-C4EE3F023575}" name="Story points" dataDxfId="15"/>
    <tableColumn id="10" xr3:uid="{2FCDAF2F-E8F7-4609-AB99-317A7DB4E903}" name="Est. hours" dataDxfId="14"/>
    <tableColumn id="11" xr3:uid="{432283EC-088E-411C-9DFE-679D13F4D1D4}" name="Start date" dataDxfId="13"/>
    <tableColumn id="12" xr3:uid="{C23B7DE9-F88F-4C09-BF51-C2946BED9BC6}" name="End date" dataDxfId="12"/>
    <tableColumn id="13" xr3:uid="{4488E25E-506E-445F-877E-4BCD21EBE2C4}" name="Status" dataDxfId="11"/>
    <tableColumn id="14" xr3:uid="{47444C78-857C-45EA-AA1D-EE6B97667EC0}" name="Acceptance criteria / Definition of done" dataDxfId="10"/>
    <tableColumn id="15" xr3:uid="{CD20CC31-FE95-4503-A3FB-F298159C6907}" name="Dependencies" dataDxf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3" width="58.7109375" customWidth="1"/>
    <col min="4" max="4" width="34.7109375" customWidth="1"/>
    <col min="5" max="5" width="52.7109375" customWidth="1"/>
    <col min="6" max="6" width="13.7109375" customWidth="1"/>
  </cols>
  <sheetData>
    <row r="1" spans="1:6" ht="33.75" customHeight="1">
      <c r="A1" s="103" t="s">
        <v>0</v>
      </c>
      <c r="B1" s="103"/>
      <c r="C1" s="103"/>
      <c r="D1" s="103"/>
      <c r="E1" s="103"/>
      <c r="F1" s="103"/>
    </row>
    <row r="2" spans="1:6" ht="20.25" customHeight="1">
      <c r="A2" s="5" t="s">
        <v>1</v>
      </c>
      <c r="B2" s="5"/>
      <c r="C2" s="5"/>
      <c r="D2" s="5"/>
      <c r="E2" s="5"/>
      <c r="F2" s="5"/>
    </row>
    <row r="3" spans="1:6">
      <c r="A3" s="2"/>
      <c r="B3" s="2"/>
      <c r="C3" s="2"/>
      <c r="D3" s="2"/>
      <c r="E3" s="2"/>
      <c r="F3" s="2"/>
    </row>
    <row r="4" spans="1:6">
      <c r="A4" s="104" t="s">
        <v>2</v>
      </c>
      <c r="B4" s="104"/>
      <c r="C4" s="104"/>
      <c r="D4" s="104"/>
      <c r="E4" s="104"/>
      <c r="F4" s="104"/>
    </row>
    <row r="5" spans="1:6">
      <c r="A5" s="105" t="s">
        <v>3</v>
      </c>
      <c r="B5" s="3" t="s">
        <v>4</v>
      </c>
      <c r="C5" s="3"/>
      <c r="D5" s="3"/>
      <c r="E5" s="3"/>
      <c r="F5" s="3"/>
    </row>
    <row r="6" spans="1:6">
      <c r="A6" s="105" t="s">
        <v>5</v>
      </c>
      <c r="B6" s="106">
        <v>46321</v>
      </c>
      <c r="C6" s="108" t="s">
        <v>6</v>
      </c>
      <c r="D6" s="3"/>
      <c r="E6" s="3"/>
      <c r="F6" s="3"/>
    </row>
    <row r="7" spans="1:6">
      <c r="A7" s="105" t="s">
        <v>7</v>
      </c>
      <c r="B7" s="107">
        <f>WORKDAY(B6,4)</f>
        <v>46325</v>
      </c>
      <c r="C7" s="2"/>
      <c r="D7" s="2"/>
      <c r="E7" s="2"/>
      <c r="F7" s="2"/>
    </row>
    <row r="8" spans="1:6">
      <c r="A8" s="105" t="s">
        <v>8</v>
      </c>
      <c r="B8" s="107">
        <f>WORKDAY(B7,1)</f>
        <v>46328</v>
      </c>
      <c r="C8" s="2"/>
      <c r="D8" s="2"/>
      <c r="E8" s="2"/>
      <c r="F8" s="2"/>
    </row>
    <row r="9" spans="1:6">
      <c r="A9" s="105" t="s">
        <v>9</v>
      </c>
      <c r="B9" s="107">
        <f>WORKDAY(B8,4)</f>
        <v>46332</v>
      </c>
      <c r="C9" s="2"/>
      <c r="D9" s="2"/>
      <c r="E9" s="2"/>
      <c r="F9" s="2"/>
    </row>
    <row r="10" spans="1:6" ht="32.25" customHeight="1">
      <c r="A10" s="105" t="s">
        <v>10</v>
      </c>
      <c r="B10" s="109" t="s">
        <v>11</v>
      </c>
      <c r="C10" s="109"/>
      <c r="D10" s="109"/>
      <c r="E10" s="109"/>
      <c r="F10" s="109"/>
    </row>
    <row r="11" spans="1:6" ht="45.75" customHeight="1">
      <c r="A11" s="105" t="s">
        <v>12</v>
      </c>
      <c r="B11" s="109" t="s">
        <v>13</v>
      </c>
      <c r="C11" s="109"/>
      <c r="D11" s="109"/>
      <c r="E11" s="109"/>
      <c r="F11" s="109"/>
    </row>
    <row r="12" spans="1:6">
      <c r="A12" s="2"/>
      <c r="B12" s="2"/>
      <c r="C12" s="2"/>
      <c r="D12" s="2"/>
      <c r="E12" s="2"/>
      <c r="F12" s="2"/>
    </row>
    <row r="13" spans="1:6" ht="45.75">
      <c r="A13" s="40" t="s">
        <v>14</v>
      </c>
      <c r="B13" s="34" t="s">
        <v>15</v>
      </c>
      <c r="C13" s="34" t="s">
        <v>16</v>
      </c>
      <c r="D13" s="34" t="s">
        <v>17</v>
      </c>
      <c r="E13" s="34" t="s">
        <v>18</v>
      </c>
      <c r="F13" s="43" t="s">
        <v>19</v>
      </c>
    </row>
    <row r="14" spans="1:6" ht="78" customHeight="1">
      <c r="A14" s="114" t="s">
        <v>20</v>
      </c>
      <c r="B14" s="110" t="str">
        <f>TEXT(B6,"d mmm")&amp;" – "&amp;TEXT(B7,"d mmm yyyy")</f>
        <v>26 Oct – 30 Oct 2026</v>
      </c>
      <c r="C14" s="52" t="s">
        <v>21</v>
      </c>
      <c r="D14" s="52" t="s">
        <v>22</v>
      </c>
      <c r="E14" s="52" t="s">
        <v>23</v>
      </c>
      <c r="F14" s="116">
        <f>COUNTIF('Sprint Backlog'!$B$4:$B$32,A14)</f>
        <v>15</v>
      </c>
    </row>
    <row r="15" spans="1:6" ht="78" customHeight="1">
      <c r="A15" s="115" t="s">
        <v>24</v>
      </c>
      <c r="B15" s="112" t="str">
        <f>TEXT(B8,"d mmm")&amp;" – "&amp;TEXT(B9,"d mmm yyyy")</f>
        <v>2 Nov – 6 Nov 2026</v>
      </c>
      <c r="C15" s="113" t="s">
        <v>25</v>
      </c>
      <c r="D15" s="113" t="s">
        <v>26</v>
      </c>
      <c r="E15" s="113" t="s">
        <v>27</v>
      </c>
      <c r="F15" s="117">
        <f>COUNTIF('Sprint Backlog'!$B$4:$B$32,A15)</f>
        <v>14</v>
      </c>
    </row>
    <row r="16" spans="1:6">
      <c r="A16" s="2"/>
      <c r="B16" s="2"/>
      <c r="C16" s="2"/>
      <c r="D16" s="2"/>
      <c r="E16" s="2"/>
      <c r="F16" s="2"/>
    </row>
    <row r="17" spans="1:6" ht="30.75">
      <c r="A17" s="40" t="s">
        <v>28</v>
      </c>
      <c r="B17" s="34" t="s">
        <v>14</v>
      </c>
      <c r="C17" s="34" t="s">
        <v>29</v>
      </c>
      <c r="D17" s="34" t="s">
        <v>30</v>
      </c>
      <c r="E17" s="34" t="s">
        <v>31</v>
      </c>
      <c r="F17" s="43" t="s">
        <v>32</v>
      </c>
    </row>
    <row r="18" spans="1:6" ht="32.25" customHeight="1">
      <c r="A18" s="121" t="str">
        <f>Capacity!A11</f>
        <v>Krishna</v>
      </c>
      <c r="B18" s="110" t="str">
        <f>Capacity!B11</f>
        <v>Sprint 1</v>
      </c>
      <c r="C18" s="52" t="s">
        <v>33</v>
      </c>
      <c r="D18" s="118">
        <f>Capacity!C11</f>
        <v>30</v>
      </c>
      <c r="E18" s="118">
        <f>Capacity!G11</f>
        <v>25.25</v>
      </c>
      <c r="F18" s="124">
        <f>Capacity!H11</f>
        <v>0.84166666666666667</v>
      </c>
    </row>
    <row r="19" spans="1:6" ht="32.25" customHeight="1">
      <c r="A19" s="122" t="str">
        <f>Capacity!A12</f>
        <v>Nivas</v>
      </c>
      <c r="B19" s="111" t="str">
        <f>Capacity!B12</f>
        <v>Sprint 1</v>
      </c>
      <c r="C19" s="54" t="s">
        <v>34</v>
      </c>
      <c r="D19" s="119">
        <f>Capacity!C12</f>
        <v>30</v>
      </c>
      <c r="E19" s="119">
        <f>Capacity!G12</f>
        <v>25.25</v>
      </c>
      <c r="F19" s="125">
        <f>Capacity!H12</f>
        <v>0.84166666666666667</v>
      </c>
    </row>
    <row r="20" spans="1:6" ht="32.25" customHeight="1">
      <c r="A20" s="121" t="str">
        <f>Capacity!A13</f>
        <v>Krishna</v>
      </c>
      <c r="B20" s="110" t="str">
        <f>Capacity!B13</f>
        <v>Sprint 2</v>
      </c>
      <c r="C20" s="52" t="s">
        <v>33</v>
      </c>
      <c r="D20" s="118">
        <f>Capacity!C13</f>
        <v>30</v>
      </c>
      <c r="E20" s="118">
        <f>Capacity!G13</f>
        <v>25.25</v>
      </c>
      <c r="F20" s="124">
        <f>Capacity!H13</f>
        <v>0.84166666666666667</v>
      </c>
    </row>
    <row r="21" spans="1:6" ht="32.25" customHeight="1">
      <c r="A21" s="123" t="str">
        <f>Capacity!A14</f>
        <v>Nivas</v>
      </c>
      <c r="B21" s="112" t="str">
        <f>Capacity!B14</f>
        <v>Sprint 2</v>
      </c>
      <c r="C21" s="113" t="s">
        <v>34</v>
      </c>
      <c r="D21" s="120">
        <f>Capacity!C14</f>
        <v>30</v>
      </c>
      <c r="E21" s="120">
        <f>Capacity!G14</f>
        <v>24.25</v>
      </c>
      <c r="F21" s="126">
        <f>Capacity!H14</f>
        <v>0.80833333333333335</v>
      </c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 ht="30.75">
      <c r="A24" s="40" t="s">
        <v>35</v>
      </c>
      <c r="B24" s="34" t="s">
        <v>36</v>
      </c>
      <c r="C24" s="34" t="s">
        <v>37</v>
      </c>
      <c r="D24" s="34" t="s">
        <v>38</v>
      </c>
      <c r="E24" s="34" t="s">
        <v>39</v>
      </c>
      <c r="F24" s="43" t="s">
        <v>40</v>
      </c>
    </row>
    <row r="25" spans="1:6" ht="32.25" customHeight="1">
      <c r="A25" s="121" t="s">
        <v>41</v>
      </c>
      <c r="B25" s="110" t="s">
        <v>42</v>
      </c>
      <c r="C25" s="52" t="s">
        <v>43</v>
      </c>
      <c r="D25" s="52" t="s">
        <v>44</v>
      </c>
      <c r="E25" s="52" t="s">
        <v>45</v>
      </c>
      <c r="F25" s="129">
        <f>'Sprint Backlog'!J4</f>
        <v>2</v>
      </c>
    </row>
    <row r="26" spans="1:6" ht="32.25" customHeight="1">
      <c r="A26" s="122" t="s">
        <v>46</v>
      </c>
      <c r="B26" s="111" t="s">
        <v>47</v>
      </c>
      <c r="C26" s="54" t="s">
        <v>48</v>
      </c>
      <c r="D26" s="54" t="s">
        <v>49</v>
      </c>
      <c r="E26" s="54" t="s">
        <v>50</v>
      </c>
      <c r="F26" s="130">
        <f>'Sprint Backlog'!J5</f>
        <v>1.25</v>
      </c>
    </row>
    <row r="27" spans="1:6" ht="32.25" customHeight="1">
      <c r="A27" s="128" t="s">
        <v>51</v>
      </c>
      <c r="B27" s="127" t="s">
        <v>52</v>
      </c>
      <c r="C27" s="57" t="s">
        <v>53</v>
      </c>
      <c r="D27" s="57" t="s">
        <v>54</v>
      </c>
      <c r="E27" s="57" t="s">
        <v>55</v>
      </c>
      <c r="F27" s="131">
        <f>'Sprint Backlog'!J18</f>
        <v>2</v>
      </c>
    </row>
    <row r="28" spans="1:6">
      <c r="A28" s="2"/>
      <c r="B28" s="2"/>
      <c r="C28" s="2"/>
      <c r="D28" s="2"/>
      <c r="E28" s="2"/>
      <c r="F28" s="2"/>
    </row>
    <row r="29" spans="1:6" ht="76.5">
      <c r="A29" s="40" t="s">
        <v>56</v>
      </c>
      <c r="B29" s="34" t="s">
        <v>57</v>
      </c>
      <c r="C29" s="34" t="s">
        <v>58</v>
      </c>
      <c r="D29" s="34" t="s">
        <v>59</v>
      </c>
      <c r="E29" s="34" t="s">
        <v>60</v>
      </c>
      <c r="F29" s="43" t="s">
        <v>61</v>
      </c>
    </row>
    <row r="30" spans="1:6" ht="45.75" customHeight="1">
      <c r="A30" s="121" t="s">
        <v>62</v>
      </c>
      <c r="B30" s="51" t="s">
        <v>63</v>
      </c>
      <c r="C30" s="52" t="s">
        <v>64</v>
      </c>
      <c r="D30" s="52" t="s">
        <v>65</v>
      </c>
      <c r="E30" s="52" t="s">
        <v>66</v>
      </c>
      <c r="F30" s="133">
        <v>46325</v>
      </c>
    </row>
    <row r="31" spans="1:6" ht="45.75" customHeight="1">
      <c r="A31" s="122" t="s">
        <v>62</v>
      </c>
      <c r="B31" s="53" t="s">
        <v>67</v>
      </c>
      <c r="C31" s="54" t="s">
        <v>68</v>
      </c>
      <c r="D31" s="54" t="s">
        <v>69</v>
      </c>
      <c r="E31" s="54" t="s">
        <v>70</v>
      </c>
      <c r="F31" s="134">
        <v>46328</v>
      </c>
    </row>
    <row r="32" spans="1:6" ht="45.75" customHeight="1">
      <c r="A32" s="121" t="s">
        <v>62</v>
      </c>
      <c r="B32" s="51" t="s">
        <v>71</v>
      </c>
      <c r="C32" s="52" t="s">
        <v>72</v>
      </c>
      <c r="D32" s="52" t="s">
        <v>73</v>
      </c>
      <c r="E32" s="52" t="s">
        <v>74</v>
      </c>
      <c r="F32" s="133">
        <v>46332</v>
      </c>
    </row>
    <row r="33" spans="1:6" ht="45.75" customHeight="1">
      <c r="A33" s="122" t="s">
        <v>62</v>
      </c>
      <c r="B33" s="53" t="s">
        <v>75</v>
      </c>
      <c r="C33" s="54" t="s">
        <v>76</v>
      </c>
      <c r="D33" s="54" t="s">
        <v>77</v>
      </c>
      <c r="E33" s="54" t="s">
        <v>78</v>
      </c>
      <c r="F33" s="134">
        <v>46322</v>
      </c>
    </row>
    <row r="34" spans="1:6" ht="45.75" customHeight="1">
      <c r="A34" s="121" t="s">
        <v>79</v>
      </c>
      <c r="B34" s="51" t="s">
        <v>80</v>
      </c>
      <c r="C34" s="52" t="s">
        <v>81</v>
      </c>
      <c r="D34" s="52" t="s">
        <v>82</v>
      </c>
      <c r="E34" s="52" t="s">
        <v>83</v>
      </c>
      <c r="F34" s="133">
        <v>46321</v>
      </c>
    </row>
    <row r="35" spans="1:6" ht="45.75" customHeight="1">
      <c r="A35" s="122" t="s">
        <v>79</v>
      </c>
      <c r="B35" s="53" t="s">
        <v>84</v>
      </c>
      <c r="C35" s="54" t="s">
        <v>85</v>
      </c>
      <c r="D35" s="54" t="s">
        <v>86</v>
      </c>
      <c r="E35" s="54" t="s">
        <v>87</v>
      </c>
      <c r="F35" s="134">
        <v>46332</v>
      </c>
    </row>
    <row r="36" spans="1:6" ht="45.75" customHeight="1">
      <c r="A36" s="121" t="s">
        <v>79</v>
      </c>
      <c r="B36" s="51" t="s">
        <v>88</v>
      </c>
      <c r="C36" s="52" t="s">
        <v>89</v>
      </c>
      <c r="D36" s="52" t="s">
        <v>90</v>
      </c>
      <c r="E36" s="52" t="s">
        <v>91</v>
      </c>
      <c r="F36" s="133">
        <v>46321</v>
      </c>
    </row>
    <row r="37" spans="1:6" ht="45.75" customHeight="1">
      <c r="A37" s="122" t="s">
        <v>92</v>
      </c>
      <c r="B37" s="53" t="s">
        <v>93</v>
      </c>
      <c r="C37" s="54" t="s">
        <v>94</v>
      </c>
      <c r="D37" s="54" t="s">
        <v>95</v>
      </c>
      <c r="E37" s="54" t="s">
        <v>96</v>
      </c>
      <c r="F37" s="134">
        <v>46332</v>
      </c>
    </row>
    <row r="38" spans="1:6" ht="45.75" customHeight="1">
      <c r="A38" s="121" t="s">
        <v>92</v>
      </c>
      <c r="B38" s="51" t="s">
        <v>97</v>
      </c>
      <c r="C38" s="52" t="s">
        <v>98</v>
      </c>
      <c r="D38" s="52" t="s">
        <v>99</v>
      </c>
      <c r="E38" s="52" t="s">
        <v>100</v>
      </c>
      <c r="F38" s="133">
        <v>46332</v>
      </c>
    </row>
    <row r="39" spans="1:6" ht="45.75" customHeight="1">
      <c r="A39" s="123" t="s">
        <v>92</v>
      </c>
      <c r="B39" s="132" t="s">
        <v>101</v>
      </c>
      <c r="C39" s="113" t="s">
        <v>102</v>
      </c>
      <c r="D39" s="113" t="s">
        <v>103</v>
      </c>
      <c r="E39" s="113" t="s">
        <v>104</v>
      </c>
      <c r="F39" s="135">
        <v>46332</v>
      </c>
    </row>
  </sheetData>
  <mergeCells count="7">
    <mergeCell ref="A1:F1"/>
    <mergeCell ref="A2:F2"/>
    <mergeCell ref="A4:F4"/>
    <mergeCell ref="B5:F5"/>
    <mergeCell ref="B10:F10"/>
    <mergeCell ref="B11:F11"/>
    <mergeCell ref="C6:F6"/>
  </mergeCells>
  <conditionalFormatting sqref="F18:F21">
    <cfRule type="cellIs" dxfId="32" priority="1" operator="greaterThan">
      <formula>0.9</formula>
    </cfRule>
  </conditionalFormatting>
  <conditionalFormatting sqref="F18:F21">
    <cfRule type="cellIs" dxfId="31" priority="2" operator="lessThanOrEqual">
      <formula>0.9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FA44-D5B5-493F-874A-DC93C55B9B47}">
  <dimension ref="A1:O32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8.7109375" customWidth="1"/>
    <col min="2" max="2" width="10.7109375" customWidth="1"/>
    <col min="3" max="3" width="18.7109375" customWidth="1"/>
    <col min="4" max="4" width="34.7109375" customWidth="1"/>
    <col min="5" max="5" width="58.7109375" customWidth="1"/>
    <col min="6" max="6" width="20.7109375" customWidth="1"/>
    <col min="7" max="8" width="10.7109375" customWidth="1"/>
    <col min="9" max="10" width="8.7109375" customWidth="1"/>
    <col min="11" max="12" width="16.7109375" customWidth="1"/>
    <col min="13" max="13" width="13.7109375" customWidth="1"/>
    <col min="14" max="14" width="52.7109375" customWidth="1"/>
    <col min="15" max="15" width="22.7109375" customWidth="1"/>
  </cols>
  <sheetData>
    <row r="1" spans="1:15" ht="30" customHeight="1">
      <c r="A1" s="4" t="s">
        <v>105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20.25" customHeight="1">
      <c r="A2" s="5" t="s">
        <v>106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32.25" customHeight="1">
      <c r="A3" s="11" t="s">
        <v>57</v>
      </c>
      <c r="B3" s="11" t="s">
        <v>14</v>
      </c>
      <c r="C3" s="11" t="s">
        <v>107</v>
      </c>
      <c r="D3" s="11" t="s">
        <v>108</v>
      </c>
      <c r="E3" s="11" t="s">
        <v>109</v>
      </c>
      <c r="F3" s="11" t="s">
        <v>110</v>
      </c>
      <c r="G3" s="11" t="s">
        <v>111</v>
      </c>
      <c r="H3" s="11" t="s">
        <v>112</v>
      </c>
      <c r="I3" s="11" t="s">
        <v>113</v>
      </c>
      <c r="J3" s="11" t="s">
        <v>114</v>
      </c>
      <c r="K3" s="11" t="s">
        <v>115</v>
      </c>
      <c r="L3" s="11" t="s">
        <v>116</v>
      </c>
      <c r="M3" s="11" t="s">
        <v>117</v>
      </c>
      <c r="N3" s="11" t="s">
        <v>118</v>
      </c>
      <c r="O3" s="11" t="s">
        <v>119</v>
      </c>
    </row>
    <row r="4" spans="1:15" ht="78" customHeight="1">
      <c r="A4" s="10" t="s">
        <v>120</v>
      </c>
      <c r="B4" s="10" t="s">
        <v>20</v>
      </c>
      <c r="C4" s="6" t="s">
        <v>121</v>
      </c>
      <c r="D4" s="6" t="s">
        <v>122</v>
      </c>
      <c r="E4" s="6" t="s">
        <v>123</v>
      </c>
      <c r="F4" s="6" t="s">
        <v>124</v>
      </c>
      <c r="G4" s="10" t="s">
        <v>125</v>
      </c>
      <c r="H4" s="10" t="s">
        <v>126</v>
      </c>
      <c r="I4" s="7">
        <v>0</v>
      </c>
      <c r="J4" s="8">
        <v>2</v>
      </c>
      <c r="K4" s="9">
        <v>46321</v>
      </c>
      <c r="L4" s="9">
        <v>46321</v>
      </c>
      <c r="M4" s="10" t="s">
        <v>127</v>
      </c>
      <c r="N4" s="6" t="s">
        <v>128</v>
      </c>
      <c r="O4" s="6" t="s">
        <v>129</v>
      </c>
    </row>
    <row r="5" spans="1:15" ht="78" customHeight="1">
      <c r="A5" s="10" t="s">
        <v>130</v>
      </c>
      <c r="B5" s="10" t="s">
        <v>20</v>
      </c>
      <c r="C5" s="6" t="s">
        <v>121</v>
      </c>
      <c r="D5" s="6" t="s">
        <v>131</v>
      </c>
      <c r="E5" s="6" t="s">
        <v>132</v>
      </c>
      <c r="F5" s="6" t="s">
        <v>82</v>
      </c>
      <c r="G5" s="10" t="s">
        <v>125</v>
      </c>
      <c r="H5" s="10" t="s">
        <v>126</v>
      </c>
      <c r="I5" s="7">
        <v>0</v>
      </c>
      <c r="J5" s="8">
        <v>1.25</v>
      </c>
      <c r="K5" s="9">
        <v>46321</v>
      </c>
      <c r="L5" s="9">
        <v>46325</v>
      </c>
      <c r="M5" s="10" t="s">
        <v>127</v>
      </c>
      <c r="N5" s="6" t="s">
        <v>133</v>
      </c>
      <c r="O5" s="6" t="s">
        <v>129</v>
      </c>
    </row>
    <row r="6" spans="1:15" ht="78" customHeight="1">
      <c r="A6" s="10" t="s">
        <v>134</v>
      </c>
      <c r="B6" s="10" t="s">
        <v>20</v>
      </c>
      <c r="C6" s="6" t="s">
        <v>135</v>
      </c>
      <c r="D6" s="6" t="s">
        <v>136</v>
      </c>
      <c r="E6" s="6" t="s">
        <v>137</v>
      </c>
      <c r="F6" s="6" t="s">
        <v>138</v>
      </c>
      <c r="G6" s="10" t="s">
        <v>125</v>
      </c>
      <c r="H6" s="10" t="s">
        <v>126</v>
      </c>
      <c r="I6" s="7">
        <v>2</v>
      </c>
      <c r="J6" s="8">
        <v>2</v>
      </c>
      <c r="K6" s="9">
        <v>46321</v>
      </c>
      <c r="L6" s="9">
        <v>46322</v>
      </c>
      <c r="M6" s="10" t="s">
        <v>127</v>
      </c>
      <c r="N6" s="6" t="s">
        <v>139</v>
      </c>
      <c r="O6" s="6" t="s">
        <v>140</v>
      </c>
    </row>
    <row r="7" spans="1:15" ht="78" customHeight="1">
      <c r="A7" s="10" t="s">
        <v>141</v>
      </c>
      <c r="B7" s="10" t="s">
        <v>20</v>
      </c>
      <c r="C7" s="6" t="s">
        <v>142</v>
      </c>
      <c r="D7" s="6" t="s">
        <v>143</v>
      </c>
      <c r="E7" s="6" t="s">
        <v>144</v>
      </c>
      <c r="F7" s="6" t="s">
        <v>145</v>
      </c>
      <c r="G7" s="10" t="s">
        <v>146</v>
      </c>
      <c r="H7" s="10" t="s">
        <v>126</v>
      </c>
      <c r="I7" s="7">
        <v>2</v>
      </c>
      <c r="J7" s="8">
        <v>3</v>
      </c>
      <c r="K7" s="9">
        <v>46321</v>
      </c>
      <c r="L7" s="9">
        <v>46322</v>
      </c>
      <c r="M7" s="10" t="s">
        <v>127</v>
      </c>
      <c r="N7" s="6" t="s">
        <v>147</v>
      </c>
      <c r="O7" s="6" t="s">
        <v>129</v>
      </c>
    </row>
    <row r="8" spans="1:15" ht="78" customHeight="1">
      <c r="A8" s="10" t="s">
        <v>148</v>
      </c>
      <c r="B8" s="10" t="s">
        <v>20</v>
      </c>
      <c r="C8" s="6" t="s">
        <v>149</v>
      </c>
      <c r="D8" s="6" t="s">
        <v>150</v>
      </c>
      <c r="E8" s="6" t="s">
        <v>151</v>
      </c>
      <c r="F8" s="6" t="s">
        <v>152</v>
      </c>
      <c r="G8" s="10" t="s">
        <v>153</v>
      </c>
      <c r="H8" s="10" t="s">
        <v>126</v>
      </c>
      <c r="I8" s="7">
        <v>3</v>
      </c>
      <c r="J8" s="8">
        <v>4</v>
      </c>
      <c r="K8" s="9">
        <v>46321</v>
      </c>
      <c r="L8" s="9">
        <v>46322</v>
      </c>
      <c r="M8" s="10" t="s">
        <v>127</v>
      </c>
      <c r="N8" s="6" t="s">
        <v>154</v>
      </c>
      <c r="O8" s="6" t="s">
        <v>141</v>
      </c>
    </row>
    <row r="9" spans="1:15" ht="78" customHeight="1">
      <c r="A9" s="10" t="s">
        <v>155</v>
      </c>
      <c r="B9" s="10" t="s">
        <v>20</v>
      </c>
      <c r="C9" s="6" t="s">
        <v>142</v>
      </c>
      <c r="D9" s="6" t="s">
        <v>156</v>
      </c>
      <c r="E9" s="6" t="s">
        <v>157</v>
      </c>
      <c r="F9" s="6" t="s">
        <v>158</v>
      </c>
      <c r="G9" s="10" t="s">
        <v>146</v>
      </c>
      <c r="H9" s="10" t="s">
        <v>126</v>
      </c>
      <c r="I9" s="7">
        <v>2</v>
      </c>
      <c r="J9" s="8">
        <v>3</v>
      </c>
      <c r="K9" s="9">
        <v>46322</v>
      </c>
      <c r="L9" s="9">
        <v>46323</v>
      </c>
      <c r="M9" s="10" t="s">
        <v>127</v>
      </c>
      <c r="N9" s="6" t="s">
        <v>159</v>
      </c>
      <c r="O9" s="6" t="s">
        <v>141</v>
      </c>
    </row>
    <row r="10" spans="1:15" ht="78" customHeight="1">
      <c r="A10" s="10" t="s">
        <v>160</v>
      </c>
      <c r="B10" s="10" t="s">
        <v>20</v>
      </c>
      <c r="C10" s="6" t="s">
        <v>161</v>
      </c>
      <c r="D10" s="6" t="s">
        <v>162</v>
      </c>
      <c r="E10" s="6" t="s">
        <v>163</v>
      </c>
      <c r="F10" s="6" t="s">
        <v>164</v>
      </c>
      <c r="G10" s="10" t="s">
        <v>153</v>
      </c>
      <c r="H10" s="10" t="s">
        <v>126</v>
      </c>
      <c r="I10" s="7">
        <v>3</v>
      </c>
      <c r="J10" s="8">
        <v>4</v>
      </c>
      <c r="K10" s="9">
        <v>46322</v>
      </c>
      <c r="L10" s="9">
        <v>46323</v>
      </c>
      <c r="M10" s="10" t="s">
        <v>127</v>
      </c>
      <c r="N10" s="6" t="s">
        <v>165</v>
      </c>
      <c r="O10" s="6" t="s">
        <v>166</v>
      </c>
    </row>
    <row r="11" spans="1:15" ht="78" customHeight="1">
      <c r="A11" s="10" t="s">
        <v>167</v>
      </c>
      <c r="B11" s="10" t="s">
        <v>20</v>
      </c>
      <c r="C11" s="6" t="s">
        <v>168</v>
      </c>
      <c r="D11" s="6" t="s">
        <v>169</v>
      </c>
      <c r="E11" s="6" t="s">
        <v>170</v>
      </c>
      <c r="F11" s="6" t="s">
        <v>171</v>
      </c>
      <c r="G11" s="10" t="s">
        <v>146</v>
      </c>
      <c r="H11" s="10" t="s">
        <v>126</v>
      </c>
      <c r="I11" s="7">
        <v>3</v>
      </c>
      <c r="J11" s="8">
        <v>4</v>
      </c>
      <c r="K11" s="9">
        <v>46323</v>
      </c>
      <c r="L11" s="9">
        <v>46324</v>
      </c>
      <c r="M11" s="10" t="s">
        <v>127</v>
      </c>
      <c r="N11" s="6" t="s">
        <v>172</v>
      </c>
      <c r="O11" s="6" t="s">
        <v>173</v>
      </c>
    </row>
    <row r="12" spans="1:15" ht="78" customHeight="1">
      <c r="A12" s="10" t="s">
        <v>174</v>
      </c>
      <c r="B12" s="10" t="s">
        <v>20</v>
      </c>
      <c r="C12" s="6" t="s">
        <v>175</v>
      </c>
      <c r="D12" s="6" t="s">
        <v>176</v>
      </c>
      <c r="E12" s="6" t="s">
        <v>177</v>
      </c>
      <c r="F12" s="6" t="s">
        <v>77</v>
      </c>
      <c r="G12" s="10" t="s">
        <v>146</v>
      </c>
      <c r="H12" s="10" t="s">
        <v>126</v>
      </c>
      <c r="I12" s="7">
        <v>3</v>
      </c>
      <c r="J12" s="8">
        <v>4</v>
      </c>
      <c r="K12" s="9">
        <v>46323</v>
      </c>
      <c r="L12" s="9">
        <v>46324</v>
      </c>
      <c r="M12" s="10" t="s">
        <v>127</v>
      </c>
      <c r="N12" s="6" t="s">
        <v>178</v>
      </c>
      <c r="O12" s="6" t="s">
        <v>179</v>
      </c>
    </row>
    <row r="13" spans="1:15" ht="78" customHeight="1">
      <c r="A13" s="10" t="s">
        <v>180</v>
      </c>
      <c r="B13" s="10" t="s">
        <v>20</v>
      </c>
      <c r="C13" s="6" t="s">
        <v>175</v>
      </c>
      <c r="D13" s="6" t="s">
        <v>181</v>
      </c>
      <c r="E13" s="6" t="s">
        <v>182</v>
      </c>
      <c r="F13" s="6" t="s">
        <v>183</v>
      </c>
      <c r="G13" s="10" t="s">
        <v>153</v>
      </c>
      <c r="H13" s="10" t="s">
        <v>126</v>
      </c>
      <c r="I13" s="7">
        <v>3</v>
      </c>
      <c r="J13" s="8">
        <v>4</v>
      </c>
      <c r="K13" s="9">
        <v>46323</v>
      </c>
      <c r="L13" s="9">
        <v>46324</v>
      </c>
      <c r="M13" s="10" t="s">
        <v>127</v>
      </c>
      <c r="N13" s="6" t="s">
        <v>184</v>
      </c>
      <c r="O13" s="6" t="s">
        <v>185</v>
      </c>
    </row>
    <row r="14" spans="1:15" ht="78" customHeight="1">
      <c r="A14" s="10" t="s">
        <v>186</v>
      </c>
      <c r="B14" s="10" t="s">
        <v>20</v>
      </c>
      <c r="C14" s="6" t="s">
        <v>161</v>
      </c>
      <c r="D14" s="6" t="s">
        <v>187</v>
      </c>
      <c r="E14" s="6" t="s">
        <v>188</v>
      </c>
      <c r="F14" s="6" t="s">
        <v>189</v>
      </c>
      <c r="G14" s="10" t="s">
        <v>153</v>
      </c>
      <c r="H14" s="10" t="s">
        <v>126</v>
      </c>
      <c r="I14" s="7">
        <v>3</v>
      </c>
      <c r="J14" s="8">
        <v>4</v>
      </c>
      <c r="K14" s="9">
        <v>46324</v>
      </c>
      <c r="L14" s="9">
        <v>46325</v>
      </c>
      <c r="M14" s="10" t="s">
        <v>127</v>
      </c>
      <c r="N14" s="6" t="s">
        <v>190</v>
      </c>
      <c r="O14" s="6" t="s">
        <v>191</v>
      </c>
    </row>
    <row r="15" spans="1:15" ht="78" customHeight="1">
      <c r="A15" s="10" t="s">
        <v>192</v>
      </c>
      <c r="B15" s="10" t="s">
        <v>20</v>
      </c>
      <c r="C15" s="6" t="s">
        <v>161</v>
      </c>
      <c r="D15" s="6" t="s">
        <v>193</v>
      </c>
      <c r="E15" s="6" t="s">
        <v>194</v>
      </c>
      <c r="F15" s="6" t="s">
        <v>195</v>
      </c>
      <c r="G15" s="10" t="s">
        <v>146</v>
      </c>
      <c r="H15" s="10" t="s">
        <v>196</v>
      </c>
      <c r="I15" s="7">
        <v>1</v>
      </c>
      <c r="J15" s="8">
        <v>2</v>
      </c>
      <c r="K15" s="9">
        <v>46324</v>
      </c>
      <c r="L15" s="9">
        <v>46325</v>
      </c>
      <c r="M15" s="10" t="s">
        <v>127</v>
      </c>
      <c r="N15" s="6" t="s">
        <v>197</v>
      </c>
      <c r="O15" s="6" t="s">
        <v>198</v>
      </c>
    </row>
    <row r="16" spans="1:15" ht="78" customHeight="1">
      <c r="A16" s="10" t="s">
        <v>199</v>
      </c>
      <c r="B16" s="10" t="s">
        <v>20</v>
      </c>
      <c r="C16" s="6" t="s">
        <v>200</v>
      </c>
      <c r="D16" s="6" t="s">
        <v>201</v>
      </c>
      <c r="E16" s="6" t="s">
        <v>202</v>
      </c>
      <c r="F16" s="6" t="s">
        <v>203</v>
      </c>
      <c r="G16" s="10" t="s">
        <v>146</v>
      </c>
      <c r="H16" s="10" t="s">
        <v>126</v>
      </c>
      <c r="I16" s="7">
        <v>1</v>
      </c>
      <c r="J16" s="8">
        <v>2</v>
      </c>
      <c r="K16" s="9">
        <v>46325</v>
      </c>
      <c r="L16" s="9">
        <v>46325</v>
      </c>
      <c r="M16" s="10" t="s">
        <v>127</v>
      </c>
      <c r="N16" s="6" t="s">
        <v>204</v>
      </c>
      <c r="O16" s="6" t="s">
        <v>180</v>
      </c>
    </row>
    <row r="17" spans="1:15" ht="78" customHeight="1">
      <c r="A17" s="10" t="s">
        <v>205</v>
      </c>
      <c r="B17" s="10" t="s">
        <v>20</v>
      </c>
      <c r="C17" s="6" t="s">
        <v>206</v>
      </c>
      <c r="D17" s="6" t="s">
        <v>207</v>
      </c>
      <c r="E17" s="6" t="s">
        <v>208</v>
      </c>
      <c r="F17" s="6" t="s">
        <v>209</v>
      </c>
      <c r="G17" s="10" t="s">
        <v>153</v>
      </c>
      <c r="H17" s="10" t="s">
        <v>196</v>
      </c>
      <c r="I17" s="7">
        <v>1</v>
      </c>
      <c r="J17" s="8">
        <v>2</v>
      </c>
      <c r="K17" s="9">
        <v>46325</v>
      </c>
      <c r="L17" s="9">
        <v>46325</v>
      </c>
      <c r="M17" s="10" t="s">
        <v>127</v>
      </c>
      <c r="N17" s="6" t="s">
        <v>210</v>
      </c>
      <c r="O17" s="6" t="s">
        <v>155</v>
      </c>
    </row>
    <row r="18" spans="1:15" ht="78" customHeight="1">
      <c r="A18" s="10" t="s">
        <v>211</v>
      </c>
      <c r="B18" s="10" t="s">
        <v>20</v>
      </c>
      <c r="C18" s="6" t="s">
        <v>121</v>
      </c>
      <c r="D18" s="6" t="s">
        <v>212</v>
      </c>
      <c r="E18" s="6" t="s">
        <v>213</v>
      </c>
      <c r="F18" s="6" t="s">
        <v>82</v>
      </c>
      <c r="G18" s="10" t="s">
        <v>125</v>
      </c>
      <c r="H18" s="10" t="s">
        <v>126</v>
      </c>
      <c r="I18" s="7">
        <v>0</v>
      </c>
      <c r="J18" s="8">
        <v>2</v>
      </c>
      <c r="K18" s="9">
        <v>46325</v>
      </c>
      <c r="L18" s="9">
        <v>46325</v>
      </c>
      <c r="M18" s="10" t="s">
        <v>127</v>
      </c>
      <c r="N18" s="6" t="s">
        <v>214</v>
      </c>
      <c r="O18" s="6" t="s">
        <v>215</v>
      </c>
    </row>
    <row r="19" spans="1:15" ht="78" customHeight="1">
      <c r="A19" s="10" t="s">
        <v>216</v>
      </c>
      <c r="B19" s="10" t="s">
        <v>24</v>
      </c>
      <c r="C19" s="6" t="s">
        <v>121</v>
      </c>
      <c r="D19" s="6" t="s">
        <v>217</v>
      </c>
      <c r="E19" s="6" t="s">
        <v>218</v>
      </c>
      <c r="F19" s="6" t="s">
        <v>219</v>
      </c>
      <c r="G19" s="10" t="s">
        <v>125</v>
      </c>
      <c r="H19" s="10" t="s">
        <v>126</v>
      </c>
      <c r="I19" s="7">
        <v>0</v>
      </c>
      <c r="J19" s="8">
        <v>2</v>
      </c>
      <c r="K19" s="9">
        <v>46328</v>
      </c>
      <c r="L19" s="9">
        <v>46328</v>
      </c>
      <c r="M19" s="10" t="s">
        <v>127</v>
      </c>
      <c r="N19" s="6" t="s">
        <v>220</v>
      </c>
      <c r="O19" s="6" t="s">
        <v>211</v>
      </c>
    </row>
    <row r="20" spans="1:15" ht="78" customHeight="1">
      <c r="A20" s="10" t="s">
        <v>221</v>
      </c>
      <c r="B20" s="10" t="s">
        <v>24</v>
      </c>
      <c r="C20" s="6" t="s">
        <v>121</v>
      </c>
      <c r="D20" s="6" t="s">
        <v>131</v>
      </c>
      <c r="E20" s="6" t="s">
        <v>132</v>
      </c>
      <c r="F20" s="6" t="s">
        <v>82</v>
      </c>
      <c r="G20" s="10" t="s">
        <v>125</v>
      </c>
      <c r="H20" s="10" t="s">
        <v>126</v>
      </c>
      <c r="I20" s="7">
        <v>0</v>
      </c>
      <c r="J20" s="8">
        <v>1.25</v>
      </c>
      <c r="K20" s="9">
        <v>46328</v>
      </c>
      <c r="L20" s="9">
        <v>46332</v>
      </c>
      <c r="M20" s="10" t="s">
        <v>127</v>
      </c>
      <c r="N20" s="6" t="s">
        <v>133</v>
      </c>
      <c r="O20" s="6" t="s">
        <v>129</v>
      </c>
    </row>
    <row r="21" spans="1:15" ht="78" customHeight="1">
      <c r="A21" s="10" t="s">
        <v>222</v>
      </c>
      <c r="B21" s="10" t="s">
        <v>24</v>
      </c>
      <c r="C21" s="6" t="s">
        <v>206</v>
      </c>
      <c r="D21" s="6" t="s">
        <v>223</v>
      </c>
      <c r="E21" s="6" t="s">
        <v>224</v>
      </c>
      <c r="F21" s="6" t="s">
        <v>225</v>
      </c>
      <c r="G21" s="10" t="s">
        <v>153</v>
      </c>
      <c r="H21" s="10" t="s">
        <v>126</v>
      </c>
      <c r="I21" s="7">
        <v>5</v>
      </c>
      <c r="J21" s="8">
        <v>5</v>
      </c>
      <c r="K21" s="9">
        <v>46328</v>
      </c>
      <c r="L21" s="9">
        <v>46329</v>
      </c>
      <c r="M21" s="10" t="s">
        <v>127</v>
      </c>
      <c r="N21" s="6" t="s">
        <v>226</v>
      </c>
      <c r="O21" s="6" t="s">
        <v>227</v>
      </c>
    </row>
    <row r="22" spans="1:15" ht="78" customHeight="1">
      <c r="A22" s="10" t="s">
        <v>228</v>
      </c>
      <c r="B22" s="10" t="s">
        <v>24</v>
      </c>
      <c r="C22" s="6" t="s">
        <v>142</v>
      </c>
      <c r="D22" s="6" t="s">
        <v>229</v>
      </c>
      <c r="E22" s="6" t="s">
        <v>230</v>
      </c>
      <c r="F22" s="6" t="s">
        <v>231</v>
      </c>
      <c r="G22" s="10" t="s">
        <v>146</v>
      </c>
      <c r="H22" s="10" t="s">
        <v>126</v>
      </c>
      <c r="I22" s="7">
        <v>2</v>
      </c>
      <c r="J22" s="8">
        <v>3</v>
      </c>
      <c r="K22" s="9">
        <v>46328</v>
      </c>
      <c r="L22" s="9">
        <v>46328</v>
      </c>
      <c r="M22" s="10" t="s">
        <v>127</v>
      </c>
      <c r="N22" s="6" t="s">
        <v>232</v>
      </c>
      <c r="O22" s="6" t="s">
        <v>233</v>
      </c>
    </row>
    <row r="23" spans="1:15" ht="78" customHeight="1">
      <c r="A23" s="10" t="s">
        <v>234</v>
      </c>
      <c r="B23" s="10" t="s">
        <v>24</v>
      </c>
      <c r="C23" s="6" t="s">
        <v>168</v>
      </c>
      <c r="D23" s="6" t="s">
        <v>235</v>
      </c>
      <c r="E23" s="6" t="s">
        <v>236</v>
      </c>
      <c r="F23" s="6" t="s">
        <v>237</v>
      </c>
      <c r="G23" s="10" t="s">
        <v>146</v>
      </c>
      <c r="H23" s="10" t="s">
        <v>126</v>
      </c>
      <c r="I23" s="7">
        <v>3</v>
      </c>
      <c r="J23" s="8">
        <v>4</v>
      </c>
      <c r="K23" s="9">
        <v>46329</v>
      </c>
      <c r="L23" s="9">
        <v>46330</v>
      </c>
      <c r="M23" s="10" t="s">
        <v>127</v>
      </c>
      <c r="N23" s="6" t="s">
        <v>238</v>
      </c>
      <c r="O23" s="6" t="s">
        <v>222</v>
      </c>
    </row>
    <row r="24" spans="1:15" ht="78" customHeight="1">
      <c r="A24" s="10" t="s">
        <v>239</v>
      </c>
      <c r="B24" s="10" t="s">
        <v>24</v>
      </c>
      <c r="C24" s="6" t="s">
        <v>240</v>
      </c>
      <c r="D24" s="6" t="s">
        <v>241</v>
      </c>
      <c r="E24" s="6" t="s">
        <v>242</v>
      </c>
      <c r="F24" s="6" t="s">
        <v>243</v>
      </c>
      <c r="G24" s="10" t="s">
        <v>153</v>
      </c>
      <c r="H24" s="10" t="s">
        <v>126</v>
      </c>
      <c r="I24" s="7">
        <v>3</v>
      </c>
      <c r="J24" s="8">
        <v>4</v>
      </c>
      <c r="K24" s="9">
        <v>46329</v>
      </c>
      <c r="L24" s="9">
        <v>46330</v>
      </c>
      <c r="M24" s="10" t="s">
        <v>127</v>
      </c>
      <c r="N24" s="6" t="s">
        <v>244</v>
      </c>
      <c r="O24" s="6" t="s">
        <v>222</v>
      </c>
    </row>
    <row r="25" spans="1:15" ht="78" customHeight="1">
      <c r="A25" s="10" t="s">
        <v>245</v>
      </c>
      <c r="B25" s="10" t="s">
        <v>24</v>
      </c>
      <c r="C25" s="6" t="s">
        <v>240</v>
      </c>
      <c r="D25" s="6" t="s">
        <v>246</v>
      </c>
      <c r="E25" s="6" t="s">
        <v>247</v>
      </c>
      <c r="F25" s="6" t="s">
        <v>248</v>
      </c>
      <c r="G25" s="10" t="s">
        <v>153</v>
      </c>
      <c r="H25" s="10" t="s">
        <v>126</v>
      </c>
      <c r="I25" s="7">
        <v>3</v>
      </c>
      <c r="J25" s="8">
        <v>4</v>
      </c>
      <c r="K25" s="9">
        <v>46330</v>
      </c>
      <c r="L25" s="9">
        <v>46331</v>
      </c>
      <c r="M25" s="10" t="s">
        <v>127</v>
      </c>
      <c r="N25" s="6" t="s">
        <v>249</v>
      </c>
      <c r="O25" s="6" t="s">
        <v>250</v>
      </c>
    </row>
    <row r="26" spans="1:15" ht="78" customHeight="1">
      <c r="A26" s="10" t="s">
        <v>251</v>
      </c>
      <c r="B26" s="10" t="s">
        <v>24</v>
      </c>
      <c r="C26" s="6" t="s">
        <v>168</v>
      </c>
      <c r="D26" s="6" t="s">
        <v>252</v>
      </c>
      <c r="E26" s="6" t="s">
        <v>253</v>
      </c>
      <c r="F26" s="6" t="s">
        <v>254</v>
      </c>
      <c r="G26" s="10" t="s">
        <v>146</v>
      </c>
      <c r="H26" s="10" t="s">
        <v>126</v>
      </c>
      <c r="I26" s="7">
        <v>5</v>
      </c>
      <c r="J26" s="8">
        <v>5</v>
      </c>
      <c r="K26" s="9">
        <v>46330</v>
      </c>
      <c r="L26" s="9">
        <v>46331</v>
      </c>
      <c r="M26" s="10" t="s">
        <v>127</v>
      </c>
      <c r="N26" s="6" t="s">
        <v>255</v>
      </c>
      <c r="O26" s="6" t="s">
        <v>256</v>
      </c>
    </row>
    <row r="27" spans="1:15" ht="78" customHeight="1">
      <c r="A27" s="10" t="s">
        <v>257</v>
      </c>
      <c r="B27" s="10" t="s">
        <v>24</v>
      </c>
      <c r="C27" s="6" t="s">
        <v>258</v>
      </c>
      <c r="D27" s="6" t="s">
        <v>259</v>
      </c>
      <c r="E27" s="6" t="s">
        <v>260</v>
      </c>
      <c r="F27" s="6" t="s">
        <v>261</v>
      </c>
      <c r="G27" s="10" t="s">
        <v>153</v>
      </c>
      <c r="H27" s="10" t="s">
        <v>126</v>
      </c>
      <c r="I27" s="7">
        <v>5</v>
      </c>
      <c r="J27" s="8">
        <v>5</v>
      </c>
      <c r="K27" s="9">
        <v>46331</v>
      </c>
      <c r="L27" s="9">
        <v>46332</v>
      </c>
      <c r="M27" s="10" t="s">
        <v>127</v>
      </c>
      <c r="N27" s="6" t="s">
        <v>262</v>
      </c>
      <c r="O27" s="6" t="s">
        <v>263</v>
      </c>
    </row>
    <row r="28" spans="1:15" ht="78" customHeight="1">
      <c r="A28" s="10" t="s">
        <v>264</v>
      </c>
      <c r="B28" s="10" t="s">
        <v>24</v>
      </c>
      <c r="C28" s="6" t="s">
        <v>258</v>
      </c>
      <c r="D28" s="6" t="s">
        <v>265</v>
      </c>
      <c r="E28" s="6" t="s">
        <v>266</v>
      </c>
      <c r="F28" s="6" t="s">
        <v>267</v>
      </c>
      <c r="G28" s="10" t="s">
        <v>146</v>
      </c>
      <c r="H28" s="10" t="s">
        <v>126</v>
      </c>
      <c r="I28" s="7">
        <v>2</v>
      </c>
      <c r="J28" s="8">
        <v>3</v>
      </c>
      <c r="K28" s="9">
        <v>46331</v>
      </c>
      <c r="L28" s="9">
        <v>46331</v>
      </c>
      <c r="M28" s="10" t="s">
        <v>127</v>
      </c>
      <c r="N28" s="6" t="s">
        <v>268</v>
      </c>
      <c r="O28" s="6" t="s">
        <v>257</v>
      </c>
    </row>
    <row r="29" spans="1:15" ht="78" customHeight="1">
      <c r="A29" s="10" t="s">
        <v>269</v>
      </c>
      <c r="B29" s="10" t="s">
        <v>24</v>
      </c>
      <c r="C29" s="6" t="s">
        <v>161</v>
      </c>
      <c r="D29" s="6" t="s">
        <v>270</v>
      </c>
      <c r="E29" s="6" t="s">
        <v>271</v>
      </c>
      <c r="F29" s="6" t="s">
        <v>272</v>
      </c>
      <c r="G29" s="10" t="s">
        <v>146</v>
      </c>
      <c r="H29" s="10" t="s">
        <v>196</v>
      </c>
      <c r="I29" s="7">
        <v>1</v>
      </c>
      <c r="J29" s="8">
        <v>2</v>
      </c>
      <c r="K29" s="9">
        <v>46332</v>
      </c>
      <c r="L29" s="9">
        <v>46332</v>
      </c>
      <c r="M29" s="10" t="s">
        <v>127</v>
      </c>
      <c r="N29" s="6" t="s">
        <v>273</v>
      </c>
      <c r="O29" s="6" t="s">
        <v>274</v>
      </c>
    </row>
    <row r="30" spans="1:15" ht="78" customHeight="1">
      <c r="A30" s="10" t="s">
        <v>275</v>
      </c>
      <c r="B30" s="10" t="s">
        <v>24</v>
      </c>
      <c r="C30" s="6" t="s">
        <v>200</v>
      </c>
      <c r="D30" s="6" t="s">
        <v>276</v>
      </c>
      <c r="E30" s="6" t="s">
        <v>277</v>
      </c>
      <c r="F30" s="6" t="s">
        <v>278</v>
      </c>
      <c r="G30" s="10" t="s">
        <v>153</v>
      </c>
      <c r="H30" s="10" t="s">
        <v>126</v>
      </c>
      <c r="I30" s="7">
        <v>1</v>
      </c>
      <c r="J30" s="8">
        <v>2</v>
      </c>
      <c r="K30" s="9">
        <v>46332</v>
      </c>
      <c r="L30" s="9">
        <v>46332</v>
      </c>
      <c r="M30" s="10" t="s">
        <v>127</v>
      </c>
      <c r="N30" s="6" t="s">
        <v>279</v>
      </c>
      <c r="O30" s="6" t="s">
        <v>280</v>
      </c>
    </row>
    <row r="31" spans="1:15" ht="78" customHeight="1">
      <c r="A31" s="10" t="s">
        <v>281</v>
      </c>
      <c r="B31" s="10" t="s">
        <v>24</v>
      </c>
      <c r="C31" s="6" t="s">
        <v>200</v>
      </c>
      <c r="D31" s="6" t="s">
        <v>282</v>
      </c>
      <c r="E31" s="6" t="s">
        <v>283</v>
      </c>
      <c r="F31" s="6" t="s">
        <v>284</v>
      </c>
      <c r="G31" s="10" t="s">
        <v>146</v>
      </c>
      <c r="H31" s="10" t="s">
        <v>196</v>
      </c>
      <c r="I31" s="7">
        <v>1</v>
      </c>
      <c r="J31" s="8">
        <v>2</v>
      </c>
      <c r="K31" s="9">
        <v>46332</v>
      </c>
      <c r="L31" s="9">
        <v>46332</v>
      </c>
      <c r="M31" s="10" t="s">
        <v>127</v>
      </c>
      <c r="N31" s="6" t="s">
        <v>285</v>
      </c>
      <c r="O31" s="6" t="s">
        <v>286</v>
      </c>
    </row>
    <row r="32" spans="1:15" ht="78" customHeight="1">
      <c r="A32" s="10" t="s">
        <v>287</v>
      </c>
      <c r="B32" s="10" t="s">
        <v>24</v>
      </c>
      <c r="C32" s="6" t="s">
        <v>121</v>
      </c>
      <c r="D32" s="6" t="s">
        <v>288</v>
      </c>
      <c r="E32" s="6" t="s">
        <v>289</v>
      </c>
      <c r="F32" s="6" t="s">
        <v>290</v>
      </c>
      <c r="G32" s="10" t="s">
        <v>125</v>
      </c>
      <c r="H32" s="10" t="s">
        <v>126</v>
      </c>
      <c r="I32" s="7">
        <v>0</v>
      </c>
      <c r="J32" s="8">
        <v>2</v>
      </c>
      <c r="K32" s="9">
        <v>46332</v>
      </c>
      <c r="L32" s="9">
        <v>46332</v>
      </c>
      <c r="M32" s="10" t="s">
        <v>127</v>
      </c>
      <c r="N32" s="6" t="s">
        <v>291</v>
      </c>
      <c r="O32" s="6" t="s">
        <v>292</v>
      </c>
    </row>
  </sheetData>
  <mergeCells count="2">
    <mergeCell ref="A1:O1"/>
    <mergeCell ref="A2:O2"/>
  </mergeCells>
  <conditionalFormatting sqref="G4:G32">
    <cfRule type="containsText" dxfId="30" priority="1" operator="containsText" text="Krishna">
      <formula>NOT(ISERROR(SEARCH("Krishna",G4)))</formula>
    </cfRule>
  </conditionalFormatting>
  <conditionalFormatting sqref="G4:G32">
    <cfRule type="containsText" dxfId="29" priority="2" operator="containsText" text="Nivas">
      <formula>NOT(ISERROR(SEARCH("Nivas",G4)))</formula>
    </cfRule>
  </conditionalFormatting>
  <conditionalFormatting sqref="G4:G32">
    <cfRule type="containsText" dxfId="28" priority="3" operator="containsText" text="Both">
      <formula>NOT(ISERROR(SEARCH("Both",G4)))</formula>
    </cfRule>
  </conditionalFormatting>
  <conditionalFormatting sqref="M4:M32">
    <cfRule type="containsText" dxfId="27" priority="4" operator="containsText" text="Done">
      <formula>NOT(ISERROR(SEARCH("Done",M4)))</formula>
    </cfRule>
  </conditionalFormatting>
  <conditionalFormatting sqref="M4:M32">
    <cfRule type="containsText" dxfId="26" priority="5" operator="containsText" text="Blocked">
      <formula>NOT(ISERROR(SEARCH("Blocked",M4)))</formula>
    </cfRule>
  </conditionalFormatting>
  <conditionalFormatting sqref="M4:M32">
    <cfRule type="containsText" dxfId="25" priority="6" operator="containsText" text="In progress">
      <formula>NOT(ISERROR(SEARCH("In progress",M4)))</formula>
    </cfRule>
  </conditionalFormatting>
  <dataValidations count="3">
    <dataValidation type="list" showInputMessage="1" showErrorMessage="1" errorTitle="Invalid status" error="Choose Not started, In progress, Blocked or Done." sqref="M4:M32" xr:uid="{2AA7F773-3688-4DF7-BF5E-FEC569FD458D}">
      <formula1>"""Not started,In progress,Blocked,Done"""</formula1>
    </dataValidation>
    <dataValidation type="list" showInputMessage="1" showErrorMessage="1" sqref="G4:G32" xr:uid="{81AB86C8-DEE3-4EF2-9723-E1DE6EB06BE7}">
      <formula1>"""Krishna,Nivas,Both"""</formula1>
    </dataValidation>
    <dataValidation type="list" showInputMessage="1" showErrorMessage="1" sqref="H4:H32" xr:uid="{5DFDC9E6-F8C9-4544-A2E7-432B38DE947E}">
      <formula1>"""Must,Should,Could,Won't"""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D86B-05D1-4946-BDF8-F002D0F9557D}">
  <dimension ref="A1:F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3" width="10.7109375" customWidth="1"/>
    <col min="4" max="5" width="52.7109375" customWidth="1"/>
    <col min="6" max="6" width="40.7109375" customWidth="1"/>
  </cols>
  <sheetData>
    <row r="1" spans="1:6" ht="30" customHeight="1">
      <c r="A1" s="4" t="s">
        <v>293</v>
      </c>
      <c r="B1" s="4"/>
      <c r="C1" s="4"/>
      <c r="D1" s="4"/>
      <c r="E1" s="4"/>
      <c r="F1" s="4"/>
    </row>
    <row r="2" spans="1:6">
      <c r="A2" s="5" t="s">
        <v>294</v>
      </c>
      <c r="B2" s="5"/>
      <c r="C2" s="5"/>
      <c r="D2" s="5"/>
      <c r="E2" s="5"/>
      <c r="F2" s="5"/>
    </row>
    <row r="3" spans="1:6" ht="24" customHeight="1">
      <c r="A3" s="58" t="s">
        <v>295</v>
      </c>
      <c r="B3" s="55" t="s">
        <v>296</v>
      </c>
      <c r="C3" s="55" t="s">
        <v>14</v>
      </c>
      <c r="D3" s="55" t="s">
        <v>297</v>
      </c>
      <c r="E3" s="55" t="s">
        <v>298</v>
      </c>
      <c r="F3" s="63" t="s">
        <v>299</v>
      </c>
    </row>
    <row r="4" spans="1:6" ht="62.25" customHeight="1">
      <c r="A4" s="59">
        <f>Overview!$B$6</f>
        <v>46321</v>
      </c>
      <c r="B4" s="51" t="str">
        <f>TEXT(A4,"dddd")</f>
        <v>Monday</v>
      </c>
      <c r="C4" s="51" t="str">
        <f>IF(A4&lt;=Overview!$B$7,"Sprint 1","Sprint 2")</f>
        <v>Sprint 1</v>
      </c>
      <c r="D4" s="52" t="s">
        <v>300</v>
      </c>
      <c r="E4" s="52" t="s">
        <v>301</v>
      </c>
      <c r="F4" s="64" t="s">
        <v>302</v>
      </c>
    </row>
    <row r="5" spans="1:6" ht="62.25" customHeight="1">
      <c r="A5" s="60">
        <f>WORKDAY(A4,1)</f>
        <v>46322</v>
      </c>
      <c r="B5" s="53" t="str">
        <f>TEXT(A5,"dddd")</f>
        <v>Tuesday</v>
      </c>
      <c r="C5" s="53" t="str">
        <f>IF(A5&lt;=Overview!$B$7,"Sprint 1","Sprint 2")</f>
        <v>Sprint 1</v>
      </c>
      <c r="D5" s="54" t="s">
        <v>303</v>
      </c>
      <c r="E5" s="54" t="s">
        <v>304</v>
      </c>
      <c r="F5" s="65" t="s">
        <v>305</v>
      </c>
    </row>
    <row r="6" spans="1:6" ht="62.25" customHeight="1">
      <c r="A6" s="59">
        <f>WORKDAY(A5,1)</f>
        <v>46323</v>
      </c>
      <c r="B6" s="51" t="str">
        <f>TEXT(A6,"dddd")</f>
        <v>Wednesday</v>
      </c>
      <c r="C6" s="51" t="str">
        <f>IF(A6&lt;=Overview!$B$7,"Sprint 1","Sprint 2")</f>
        <v>Sprint 1</v>
      </c>
      <c r="D6" s="52" t="s">
        <v>306</v>
      </c>
      <c r="E6" s="52" t="s">
        <v>307</v>
      </c>
      <c r="F6" s="64" t="s">
        <v>308</v>
      </c>
    </row>
    <row r="7" spans="1:6" ht="62.25" customHeight="1">
      <c r="A7" s="60">
        <f>WORKDAY(A6,1)</f>
        <v>46324</v>
      </c>
      <c r="B7" s="53" t="str">
        <f>TEXT(A7,"dddd")</f>
        <v>Thursday</v>
      </c>
      <c r="C7" s="53" t="str">
        <f>IF(A7&lt;=Overview!$B$7,"Sprint 1","Sprint 2")</f>
        <v>Sprint 1</v>
      </c>
      <c r="D7" s="54" t="s">
        <v>309</v>
      </c>
      <c r="E7" s="54" t="s">
        <v>310</v>
      </c>
      <c r="F7" s="65" t="s">
        <v>311</v>
      </c>
    </row>
    <row r="8" spans="1:6" ht="62.25" customHeight="1">
      <c r="A8" s="61">
        <f>WORKDAY(A7,1)</f>
        <v>46325</v>
      </c>
      <c r="B8" s="49" t="str">
        <f>TEXT(A8,"dddd")</f>
        <v>Friday</v>
      </c>
      <c r="C8" s="49" t="str">
        <f>IF(A8&lt;=Overview!$B$7,"Sprint 1","Sprint 2")</f>
        <v>Sprint 1</v>
      </c>
      <c r="D8" s="50" t="s">
        <v>312</v>
      </c>
      <c r="E8" s="50" t="s">
        <v>313</v>
      </c>
      <c r="F8" s="66" t="s">
        <v>314</v>
      </c>
    </row>
    <row r="9" spans="1:6" ht="62.25" customHeight="1">
      <c r="A9" s="59">
        <f>WORKDAY(A8,1)</f>
        <v>46328</v>
      </c>
      <c r="B9" s="51" t="str">
        <f>TEXT(A9,"dddd")</f>
        <v>Monday</v>
      </c>
      <c r="C9" s="51" t="str">
        <f>IF(A9&lt;=Overview!$B$7,"Sprint 1","Sprint 2")</f>
        <v>Sprint 2</v>
      </c>
      <c r="D9" s="52" t="s">
        <v>315</v>
      </c>
      <c r="E9" s="52" t="s">
        <v>316</v>
      </c>
      <c r="F9" s="64" t="s">
        <v>317</v>
      </c>
    </row>
    <row r="10" spans="1:6" ht="62.25" customHeight="1">
      <c r="A10" s="60">
        <f>WORKDAY(A9,1)</f>
        <v>46329</v>
      </c>
      <c r="B10" s="53" t="str">
        <f>TEXT(A10,"dddd")</f>
        <v>Tuesday</v>
      </c>
      <c r="C10" s="53" t="str">
        <f>IF(A10&lt;=Overview!$B$7,"Sprint 1","Sprint 2")</f>
        <v>Sprint 2</v>
      </c>
      <c r="D10" s="54" t="s">
        <v>318</v>
      </c>
      <c r="E10" s="54" t="s">
        <v>319</v>
      </c>
      <c r="F10" s="65" t="s">
        <v>320</v>
      </c>
    </row>
    <row r="11" spans="1:6" ht="62.25" customHeight="1">
      <c r="A11" s="59">
        <f>WORKDAY(A10,1)</f>
        <v>46330</v>
      </c>
      <c r="B11" s="51" t="str">
        <f>TEXT(A11,"dddd")</f>
        <v>Wednesday</v>
      </c>
      <c r="C11" s="51" t="str">
        <f>IF(A11&lt;=Overview!$B$7,"Sprint 1","Sprint 2")</f>
        <v>Sprint 2</v>
      </c>
      <c r="D11" s="52" t="s">
        <v>321</v>
      </c>
      <c r="E11" s="52" t="s">
        <v>322</v>
      </c>
      <c r="F11" s="64" t="s">
        <v>323</v>
      </c>
    </row>
    <row r="12" spans="1:6" ht="62.25" customHeight="1">
      <c r="A12" s="60">
        <f>WORKDAY(A11,1)</f>
        <v>46331</v>
      </c>
      <c r="B12" s="53" t="str">
        <f>TEXT(A12,"dddd")</f>
        <v>Thursday</v>
      </c>
      <c r="C12" s="53" t="str">
        <f>IF(A12&lt;=Overview!$B$7,"Sprint 1","Sprint 2")</f>
        <v>Sprint 2</v>
      </c>
      <c r="D12" s="54" t="s">
        <v>324</v>
      </c>
      <c r="E12" s="54" t="s">
        <v>325</v>
      </c>
      <c r="F12" s="65" t="s">
        <v>326</v>
      </c>
    </row>
    <row r="13" spans="1:6" ht="62.25" customHeight="1">
      <c r="A13" s="62">
        <f>WORKDAY(A12,1)</f>
        <v>46332</v>
      </c>
      <c r="B13" s="56" t="str">
        <f>TEXT(A13,"dddd")</f>
        <v>Friday</v>
      </c>
      <c r="C13" s="56" t="str">
        <f>IF(A13&lt;=Overview!$B$7,"Sprint 1","Sprint 2")</f>
        <v>Sprint 2</v>
      </c>
      <c r="D13" s="57" t="s">
        <v>327</v>
      </c>
      <c r="E13" s="57" t="s">
        <v>328</v>
      </c>
      <c r="F13" s="67" t="s">
        <v>329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684AD-F5AC-4C26-87EA-A1A0095F7B29}">
  <dimension ref="A1:O32"/>
  <sheetViews>
    <sheetView workbookViewId="0">
      <pane xSplit="5" ySplit="3" topLeftCell="F4" activePane="bottomRight" state="frozen"/>
      <selection pane="bottomRight"/>
      <selection pane="bottomLeft"/>
      <selection pane="topRight"/>
    </sheetView>
  </sheetViews>
  <sheetFormatPr defaultRowHeight="15"/>
  <cols>
    <col min="1" max="1" width="8.7109375" customWidth="1"/>
    <col min="2" max="2" width="52.7109375" customWidth="1"/>
    <col min="3" max="3" width="10.7109375" customWidth="1"/>
    <col min="4" max="5" width="9.7109375" customWidth="1"/>
    <col min="6" max="15" width="11.7109375" customWidth="1"/>
  </cols>
  <sheetData>
    <row r="1" spans="1:15" ht="30" customHeight="1">
      <c r="A1" s="4" t="s">
        <v>330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>
      <c r="A2" s="68" t="s">
        <v>331</v>
      </c>
      <c r="B2" s="68" t="s">
        <v>332</v>
      </c>
      <c r="C2" s="69" t="s">
        <v>153</v>
      </c>
      <c r="D2" s="70" t="s">
        <v>146</v>
      </c>
      <c r="E2" s="71" t="s">
        <v>125</v>
      </c>
      <c r="F2" s="72" t="s">
        <v>333</v>
      </c>
      <c r="G2" s="72"/>
      <c r="H2" s="72"/>
      <c r="I2" s="72"/>
      <c r="J2" s="72"/>
      <c r="K2" s="72" t="s">
        <v>334</v>
      </c>
      <c r="L2" s="72"/>
      <c r="M2" s="72"/>
      <c r="N2" s="72"/>
      <c r="O2" s="72"/>
    </row>
    <row r="3" spans="1:15" ht="30" customHeight="1">
      <c r="A3" s="11" t="s">
        <v>57</v>
      </c>
      <c r="B3" s="11" t="s">
        <v>335</v>
      </c>
      <c r="C3" s="11" t="s">
        <v>111</v>
      </c>
      <c r="D3" s="11" t="s">
        <v>336</v>
      </c>
      <c r="E3" s="11" t="s">
        <v>337</v>
      </c>
      <c r="F3" s="73">
        <f>'Daily Schedule'!A4</f>
        <v>46321</v>
      </c>
      <c r="G3" s="73">
        <f>'Daily Schedule'!A5</f>
        <v>46322</v>
      </c>
      <c r="H3" s="73">
        <f>'Daily Schedule'!A6</f>
        <v>46323</v>
      </c>
      <c r="I3" s="73">
        <f>'Daily Schedule'!A7</f>
        <v>46324</v>
      </c>
      <c r="J3" s="92">
        <f>'Daily Schedule'!A8</f>
        <v>46325</v>
      </c>
      <c r="K3" s="73">
        <f>'Daily Schedule'!A9</f>
        <v>46328</v>
      </c>
      <c r="L3" s="73">
        <f>'Daily Schedule'!A10</f>
        <v>46329</v>
      </c>
      <c r="M3" s="73">
        <f>'Daily Schedule'!A11</f>
        <v>46330</v>
      </c>
      <c r="N3" s="73">
        <f>'Daily Schedule'!A12</f>
        <v>46331</v>
      </c>
      <c r="O3" s="73">
        <f>'Daily Schedule'!A13</f>
        <v>46332</v>
      </c>
    </row>
    <row r="4" spans="1:15" ht="20.25" customHeight="1">
      <c r="A4" s="86" t="str">
        <f>'Sprint Backlog'!A4</f>
        <v>S1-01</v>
      </c>
      <c r="B4" s="79" t="str">
        <f>'Sprint Backlog'!D4</f>
        <v>Sprint 1 planning &amp; PRD walkthrough</v>
      </c>
      <c r="C4" s="78" t="str">
        <f>'Sprint Backlog'!G4</f>
        <v>Both</v>
      </c>
      <c r="D4" s="80">
        <f>'Sprint Backlog'!K4</f>
        <v>46321</v>
      </c>
      <c r="E4" s="80">
        <f>'Sprint Backlog'!L4</f>
        <v>46321</v>
      </c>
      <c r="F4" s="81" t="str">
        <f>IF(AND(F$3&gt;=$D4,F$3&lt;=$E4),$C4,"")</f>
        <v>Both</v>
      </c>
      <c r="G4" s="81" t="str">
        <f>IF(AND(G$3&gt;=$D4,G$3&lt;=$E4),$C4,"")</f>
        <v/>
      </c>
      <c r="H4" s="81" t="str">
        <f>IF(AND(H$3&gt;=$D4,H$3&lt;=$E4),$C4,"")</f>
        <v/>
      </c>
      <c r="I4" s="81" t="str">
        <f>IF(AND(I$3&gt;=$D4,I$3&lt;=$E4),$C4,"")</f>
        <v/>
      </c>
      <c r="J4" s="93" t="str">
        <f>IF(AND(J$3&gt;=$D4,J$3&lt;=$E4),$C4,"")</f>
        <v/>
      </c>
      <c r="K4" s="81" t="str">
        <f>IF(AND(K$3&gt;=$D4,K$3&lt;=$E4),$C4,"")</f>
        <v/>
      </c>
      <c r="L4" s="81" t="str">
        <f>IF(AND(L$3&gt;=$D4,L$3&lt;=$E4),$C4,"")</f>
        <v/>
      </c>
      <c r="M4" s="81" t="str">
        <f>IF(AND(M$3&gt;=$D4,M$3&lt;=$E4),$C4,"")</f>
        <v/>
      </c>
      <c r="N4" s="81" t="str">
        <f>IF(AND(N$3&gt;=$D4,N$3&lt;=$E4),$C4,"")</f>
        <v/>
      </c>
      <c r="O4" s="89" t="str">
        <f>IF(AND(O$3&gt;=$D4,O$3&lt;=$E4),$C4,"")</f>
        <v/>
      </c>
    </row>
    <row r="5" spans="1:15" ht="20.25" customHeight="1">
      <c r="A5" s="87" t="str">
        <f>'Sprint Backlog'!A5</f>
        <v>S1-02</v>
      </c>
      <c r="B5" s="75" t="str">
        <f>'Sprint Backlog'!D5</f>
        <v>Daily stand-ups (5 × 15 min)</v>
      </c>
      <c r="C5" s="74" t="str">
        <f>'Sprint Backlog'!G5</f>
        <v>Both</v>
      </c>
      <c r="D5" s="76">
        <f>'Sprint Backlog'!K5</f>
        <v>46321</v>
      </c>
      <c r="E5" s="76">
        <f>'Sprint Backlog'!L5</f>
        <v>46325</v>
      </c>
      <c r="F5" s="77" t="str">
        <f>IF(AND(F$3&gt;=$D5,F$3&lt;=$E5),$C5,"")</f>
        <v>Both</v>
      </c>
      <c r="G5" s="77" t="str">
        <f>IF(AND(G$3&gt;=$D5,G$3&lt;=$E5),$C5,"")</f>
        <v>Both</v>
      </c>
      <c r="H5" s="77" t="str">
        <f>IF(AND(H$3&gt;=$D5,H$3&lt;=$E5),$C5,"")</f>
        <v>Both</v>
      </c>
      <c r="I5" s="77" t="str">
        <f>IF(AND(I$3&gt;=$D5,I$3&lt;=$E5),$C5,"")</f>
        <v>Both</v>
      </c>
      <c r="J5" s="94" t="str">
        <f>IF(AND(J$3&gt;=$D5,J$3&lt;=$E5),$C5,"")</f>
        <v>Both</v>
      </c>
      <c r="K5" s="77" t="str">
        <f>IF(AND(K$3&gt;=$D5,K$3&lt;=$E5),$C5,"")</f>
        <v/>
      </c>
      <c r="L5" s="77" t="str">
        <f>IF(AND(L$3&gt;=$D5,L$3&lt;=$E5),$C5,"")</f>
        <v/>
      </c>
      <c r="M5" s="77" t="str">
        <f>IF(AND(M$3&gt;=$D5,M$3&lt;=$E5),$C5,"")</f>
        <v/>
      </c>
      <c r="N5" s="77" t="str">
        <f>IF(AND(N$3&gt;=$D5,N$3&lt;=$E5),$C5,"")</f>
        <v/>
      </c>
      <c r="O5" s="90" t="str">
        <f>IF(AND(O$3&gt;=$D5,O$3&lt;=$E5),$C5,"")</f>
        <v/>
      </c>
    </row>
    <row r="6" spans="1:15" ht="20.25" customHeight="1">
      <c r="A6" s="87" t="str">
        <f>'Sprint Backlog'!A6</f>
        <v>S1-03</v>
      </c>
      <c r="B6" s="75" t="str">
        <f>'Sprint Backlog'!D6</f>
        <v>Phase 0 alignment: scope, sources, access &amp; success criteria</v>
      </c>
      <c r="C6" s="74" t="str">
        <f>'Sprint Backlog'!G6</f>
        <v>Both</v>
      </c>
      <c r="D6" s="76">
        <f>'Sprint Backlog'!K6</f>
        <v>46321</v>
      </c>
      <c r="E6" s="76">
        <f>'Sprint Backlog'!L6</f>
        <v>46322</v>
      </c>
      <c r="F6" s="77" t="str">
        <f>IF(AND(F$3&gt;=$D6,F$3&lt;=$E6),$C6,"")</f>
        <v>Both</v>
      </c>
      <c r="G6" s="77" t="str">
        <f>IF(AND(G$3&gt;=$D6,G$3&lt;=$E6),$C6,"")</f>
        <v>Both</v>
      </c>
      <c r="H6" s="77" t="str">
        <f>IF(AND(H$3&gt;=$D6,H$3&lt;=$E6),$C6,"")</f>
        <v/>
      </c>
      <c r="I6" s="77" t="str">
        <f>IF(AND(I$3&gt;=$D6,I$3&lt;=$E6),$C6,"")</f>
        <v/>
      </c>
      <c r="J6" s="94" t="str">
        <f>IF(AND(J$3&gt;=$D6,J$3&lt;=$E6),$C6,"")</f>
        <v/>
      </c>
      <c r="K6" s="77" t="str">
        <f>IF(AND(K$3&gt;=$D6,K$3&lt;=$E6),$C6,"")</f>
        <v/>
      </c>
      <c r="L6" s="77" t="str">
        <f>IF(AND(L$3&gt;=$D6,L$3&lt;=$E6),$C6,"")</f>
        <v/>
      </c>
      <c r="M6" s="77" t="str">
        <f>IF(AND(M$3&gt;=$D6,M$3&lt;=$E6),$C6,"")</f>
        <v/>
      </c>
      <c r="N6" s="77" t="str">
        <f>IF(AND(N$3&gt;=$D6,N$3&lt;=$E6),$C6,"")</f>
        <v/>
      </c>
      <c r="O6" s="90" t="str">
        <f>IF(AND(O$3&gt;=$D6,O$3&lt;=$E6),$C6,"")</f>
        <v/>
      </c>
    </row>
    <row r="7" spans="1:15" ht="20.25" customHeight="1">
      <c r="A7" s="87" t="str">
        <f>'Sprint Backlog'!A7</f>
        <v>S1-04</v>
      </c>
      <c r="B7" s="75" t="str">
        <f>'Sprint Backlog'!D7</f>
        <v>Repository, branching &amp; CI pipeline</v>
      </c>
      <c r="C7" s="74" t="str">
        <f>'Sprint Backlog'!G7</f>
        <v>Nivas</v>
      </c>
      <c r="D7" s="76">
        <f>'Sprint Backlog'!K7</f>
        <v>46321</v>
      </c>
      <c r="E7" s="76">
        <f>'Sprint Backlog'!L7</f>
        <v>46322</v>
      </c>
      <c r="F7" s="77" t="str">
        <f>IF(AND(F$3&gt;=$D7,F$3&lt;=$E7),$C7,"")</f>
        <v>Nivas</v>
      </c>
      <c r="G7" s="77" t="str">
        <f>IF(AND(G$3&gt;=$D7,G$3&lt;=$E7),$C7,"")</f>
        <v>Nivas</v>
      </c>
      <c r="H7" s="77" t="str">
        <f>IF(AND(H$3&gt;=$D7,H$3&lt;=$E7),$C7,"")</f>
        <v/>
      </c>
      <c r="I7" s="77" t="str">
        <f>IF(AND(I$3&gt;=$D7,I$3&lt;=$E7),$C7,"")</f>
        <v/>
      </c>
      <c r="J7" s="94" t="str">
        <f>IF(AND(J$3&gt;=$D7,J$3&lt;=$E7),$C7,"")</f>
        <v/>
      </c>
      <c r="K7" s="77" t="str">
        <f>IF(AND(K$3&gt;=$D7,K$3&lt;=$E7),$C7,"")</f>
        <v/>
      </c>
      <c r="L7" s="77" t="str">
        <f>IF(AND(L$3&gt;=$D7,L$3&lt;=$E7),$C7,"")</f>
        <v/>
      </c>
      <c r="M7" s="77" t="str">
        <f>IF(AND(M$3&gt;=$D7,M$3&lt;=$E7),$C7,"")</f>
        <v/>
      </c>
      <c r="N7" s="77" t="str">
        <f>IF(AND(N$3&gt;=$D7,N$3&lt;=$E7),$C7,"")</f>
        <v/>
      </c>
      <c r="O7" s="90" t="str">
        <f>IF(AND(O$3&gt;=$D7,O$3&lt;=$E7),$C7,"")</f>
        <v/>
      </c>
    </row>
    <row r="8" spans="1:15" ht="20.25" customHeight="1">
      <c r="A8" s="87" t="str">
        <f>'Sprint Backlog'!A8</f>
        <v>S1-05</v>
      </c>
      <c r="B8" s="75" t="str">
        <f>'Sprint Backlog'!D8</f>
        <v>FastAPI backend skeleton</v>
      </c>
      <c r="C8" s="74" t="str">
        <f>'Sprint Backlog'!G8</f>
        <v>Krishna</v>
      </c>
      <c r="D8" s="76">
        <f>'Sprint Backlog'!K8</f>
        <v>46321</v>
      </c>
      <c r="E8" s="76">
        <f>'Sprint Backlog'!L8</f>
        <v>46322</v>
      </c>
      <c r="F8" s="77" t="str">
        <f>IF(AND(F$3&gt;=$D8,F$3&lt;=$E8),$C8,"")</f>
        <v>Krishna</v>
      </c>
      <c r="G8" s="77" t="str">
        <f>IF(AND(G$3&gt;=$D8,G$3&lt;=$E8),$C8,"")</f>
        <v>Krishna</v>
      </c>
      <c r="H8" s="77" t="str">
        <f>IF(AND(H$3&gt;=$D8,H$3&lt;=$E8),$C8,"")</f>
        <v/>
      </c>
      <c r="I8" s="77" t="str">
        <f>IF(AND(I$3&gt;=$D8,I$3&lt;=$E8),$C8,"")</f>
        <v/>
      </c>
      <c r="J8" s="94" t="str">
        <f>IF(AND(J$3&gt;=$D8,J$3&lt;=$E8),$C8,"")</f>
        <v/>
      </c>
      <c r="K8" s="77" t="str">
        <f>IF(AND(K$3&gt;=$D8,K$3&lt;=$E8),$C8,"")</f>
        <v/>
      </c>
      <c r="L8" s="77" t="str">
        <f>IF(AND(L$3&gt;=$D8,L$3&lt;=$E8),$C8,"")</f>
        <v/>
      </c>
      <c r="M8" s="77" t="str">
        <f>IF(AND(M$3&gt;=$D8,M$3&lt;=$E8),$C8,"")</f>
        <v/>
      </c>
      <c r="N8" s="77" t="str">
        <f>IF(AND(N$3&gt;=$D8,N$3&lt;=$E8),$C8,"")</f>
        <v/>
      </c>
      <c r="O8" s="90" t="str">
        <f>IF(AND(O$3&gt;=$D8,O$3&lt;=$E8),$C8,"")</f>
        <v/>
      </c>
    </row>
    <row r="9" spans="1:15" ht="20.25" customHeight="1">
      <c r="A9" s="87" t="str">
        <f>'Sprint Backlog'!A9</f>
        <v>S1-06</v>
      </c>
      <c r="B9" s="75" t="str">
        <f>'Sprint Backlog'!D9</f>
        <v>Podman dev environment</v>
      </c>
      <c r="C9" s="74" t="str">
        <f>'Sprint Backlog'!G9</f>
        <v>Nivas</v>
      </c>
      <c r="D9" s="76">
        <f>'Sprint Backlog'!K9</f>
        <v>46322</v>
      </c>
      <c r="E9" s="76">
        <f>'Sprint Backlog'!L9</f>
        <v>46323</v>
      </c>
      <c r="F9" s="77" t="str">
        <f>IF(AND(F$3&gt;=$D9,F$3&lt;=$E9),$C9,"")</f>
        <v/>
      </c>
      <c r="G9" s="77" t="str">
        <f>IF(AND(G$3&gt;=$D9,G$3&lt;=$E9),$C9,"")</f>
        <v>Nivas</v>
      </c>
      <c r="H9" s="77" t="str">
        <f>IF(AND(H$3&gt;=$D9,H$3&lt;=$E9),$C9,"")</f>
        <v>Nivas</v>
      </c>
      <c r="I9" s="77" t="str">
        <f>IF(AND(I$3&gt;=$D9,I$3&lt;=$E9),$C9,"")</f>
        <v/>
      </c>
      <c r="J9" s="94" t="str">
        <f>IF(AND(J$3&gt;=$D9,J$3&lt;=$E9),$C9,"")</f>
        <v/>
      </c>
      <c r="K9" s="77" t="str">
        <f>IF(AND(K$3&gt;=$D9,K$3&lt;=$E9),$C9,"")</f>
        <v/>
      </c>
      <c r="L9" s="77" t="str">
        <f>IF(AND(L$3&gt;=$D9,L$3&lt;=$E9),$C9,"")</f>
        <v/>
      </c>
      <c r="M9" s="77" t="str">
        <f>IF(AND(M$3&gt;=$D9,M$3&lt;=$E9),$C9,"")</f>
        <v/>
      </c>
      <c r="N9" s="77" t="str">
        <f>IF(AND(N$3&gt;=$D9,N$3&lt;=$E9),$C9,"")</f>
        <v/>
      </c>
      <c r="O9" s="90" t="str">
        <f>IF(AND(O$3&gt;=$D9,O$3&lt;=$E9),$C9,"")</f>
        <v/>
      </c>
    </row>
    <row r="10" spans="1:15" ht="20.25" customHeight="1">
      <c r="A10" s="87" t="str">
        <f>'Sprint Backlog'!A10</f>
        <v>S1-07</v>
      </c>
      <c r="B10" s="75" t="str">
        <f>'Sprint Backlog'!D10</f>
        <v>PostgreSQL/pgvector schema v1 + migrations</v>
      </c>
      <c r="C10" s="74" t="str">
        <f>'Sprint Backlog'!G10</f>
        <v>Krishna</v>
      </c>
      <c r="D10" s="76">
        <f>'Sprint Backlog'!K10</f>
        <v>46322</v>
      </c>
      <c r="E10" s="76">
        <f>'Sprint Backlog'!L10</f>
        <v>46323</v>
      </c>
      <c r="F10" s="77" t="str">
        <f>IF(AND(F$3&gt;=$D10,F$3&lt;=$E10),$C10,"")</f>
        <v/>
      </c>
      <c r="G10" s="77" t="str">
        <f>IF(AND(G$3&gt;=$D10,G$3&lt;=$E10),$C10,"")</f>
        <v>Krishna</v>
      </c>
      <c r="H10" s="77" t="str">
        <f>IF(AND(H$3&gt;=$D10,H$3&lt;=$E10),$C10,"")</f>
        <v>Krishna</v>
      </c>
      <c r="I10" s="77" t="str">
        <f>IF(AND(I$3&gt;=$D10,I$3&lt;=$E10),$C10,"")</f>
        <v/>
      </c>
      <c r="J10" s="94" t="str">
        <f>IF(AND(J$3&gt;=$D10,J$3&lt;=$E10),$C10,"")</f>
        <v/>
      </c>
      <c r="K10" s="77" t="str">
        <f>IF(AND(K$3&gt;=$D10,K$3&lt;=$E10),$C10,"")</f>
        <v/>
      </c>
      <c r="L10" s="77" t="str">
        <f>IF(AND(L$3&gt;=$D10,L$3&lt;=$E10),$C10,"")</f>
        <v/>
      </c>
      <c r="M10" s="77" t="str">
        <f>IF(AND(M$3&gt;=$D10,M$3&lt;=$E10),$C10,"")</f>
        <v/>
      </c>
      <c r="N10" s="77" t="str">
        <f>IF(AND(N$3&gt;=$D10,N$3&lt;=$E10),$C10,"")</f>
        <v/>
      </c>
      <c r="O10" s="90" t="str">
        <f>IF(AND(O$3&gt;=$D10,O$3&lt;=$E10),$C10,"")</f>
        <v/>
      </c>
    </row>
    <row r="11" spans="1:15" ht="20.25" customHeight="1">
      <c r="A11" s="87" t="str">
        <f>'Sprint Backlog'!A11</f>
        <v>S1-08</v>
      </c>
      <c r="B11" s="75" t="str">
        <f>'Sprint Backlog'!D11</f>
        <v>React/Vite UI shell</v>
      </c>
      <c r="C11" s="74" t="str">
        <f>'Sprint Backlog'!G11</f>
        <v>Nivas</v>
      </c>
      <c r="D11" s="76">
        <f>'Sprint Backlog'!K11</f>
        <v>46323</v>
      </c>
      <c r="E11" s="76">
        <f>'Sprint Backlog'!L11</f>
        <v>46324</v>
      </c>
      <c r="F11" s="77" t="str">
        <f>IF(AND(F$3&gt;=$D11,F$3&lt;=$E11),$C11,"")</f>
        <v/>
      </c>
      <c r="G11" s="77" t="str">
        <f>IF(AND(G$3&gt;=$D11,G$3&lt;=$E11),$C11,"")</f>
        <v/>
      </c>
      <c r="H11" s="77" t="str">
        <f>IF(AND(H$3&gt;=$D11,H$3&lt;=$E11),$C11,"")</f>
        <v>Nivas</v>
      </c>
      <c r="I11" s="77" t="str">
        <f>IF(AND(I$3&gt;=$D11,I$3&lt;=$E11),$C11,"")</f>
        <v>Nivas</v>
      </c>
      <c r="J11" s="94" t="str">
        <f>IF(AND(J$3&gt;=$D11,J$3&lt;=$E11),$C11,"")</f>
        <v/>
      </c>
      <c r="K11" s="77" t="str">
        <f>IF(AND(K$3&gt;=$D11,K$3&lt;=$E11),$C11,"")</f>
        <v/>
      </c>
      <c r="L11" s="77" t="str">
        <f>IF(AND(L$3&gt;=$D11,L$3&lt;=$E11),$C11,"")</f>
        <v/>
      </c>
      <c r="M11" s="77" t="str">
        <f>IF(AND(M$3&gt;=$D11,M$3&lt;=$E11),$C11,"")</f>
        <v/>
      </c>
      <c r="N11" s="77" t="str">
        <f>IF(AND(N$3&gt;=$D11,N$3&lt;=$E11),$C11,"")</f>
        <v/>
      </c>
      <c r="O11" s="90" t="str">
        <f>IF(AND(O$3&gt;=$D11,O$3&lt;=$E11),$C11,"")</f>
        <v/>
      </c>
    </row>
    <row r="12" spans="1:15" ht="20.25" customHeight="1">
      <c r="A12" s="87" t="str">
        <f>'Sprint Backlog'!A12</f>
        <v>S1-09</v>
      </c>
      <c r="B12" s="75" t="str">
        <f>'Sprint Backlog'!D12</f>
        <v>SSO integration (OIDC) – Keycloak or Entra ID [confirm with client]</v>
      </c>
      <c r="C12" s="74" t="str">
        <f>'Sprint Backlog'!G12</f>
        <v>Nivas</v>
      </c>
      <c r="D12" s="76">
        <f>'Sprint Backlog'!K12</f>
        <v>46323</v>
      </c>
      <c r="E12" s="76">
        <f>'Sprint Backlog'!L12</f>
        <v>46324</v>
      </c>
      <c r="F12" s="77" t="str">
        <f>IF(AND(F$3&gt;=$D12,F$3&lt;=$E12),$C12,"")</f>
        <v/>
      </c>
      <c r="G12" s="77" t="str">
        <f>IF(AND(G$3&gt;=$D12,G$3&lt;=$E12),$C12,"")</f>
        <v/>
      </c>
      <c r="H12" s="77" t="str">
        <f>IF(AND(H$3&gt;=$D12,H$3&lt;=$E12),$C12,"")</f>
        <v>Nivas</v>
      </c>
      <c r="I12" s="77" t="str">
        <f>IF(AND(I$3&gt;=$D12,I$3&lt;=$E12),$C12,"")</f>
        <v>Nivas</v>
      </c>
      <c r="J12" s="94" t="str">
        <f>IF(AND(J$3&gt;=$D12,J$3&lt;=$E12),$C12,"")</f>
        <v/>
      </c>
      <c r="K12" s="77" t="str">
        <f>IF(AND(K$3&gt;=$D12,K$3&lt;=$E12),$C12,"")</f>
        <v/>
      </c>
      <c r="L12" s="77" t="str">
        <f>IF(AND(L$3&gt;=$D12,L$3&lt;=$E12),$C12,"")</f>
        <v/>
      </c>
      <c r="M12" s="77" t="str">
        <f>IF(AND(M$3&gt;=$D12,M$3&lt;=$E12),$C12,"")</f>
        <v/>
      </c>
      <c r="N12" s="77" t="str">
        <f>IF(AND(N$3&gt;=$D12,N$3&lt;=$E12),$C12,"")</f>
        <v/>
      </c>
      <c r="O12" s="90" t="str">
        <f>IF(AND(O$3&gt;=$D12,O$3&lt;=$E12),$C12,"")</f>
        <v/>
      </c>
    </row>
    <row r="13" spans="1:15" ht="20.25" customHeight="1">
      <c r="A13" s="87" t="str">
        <f>'Sprint Backlog'!A13</f>
        <v>S1-10</v>
      </c>
      <c r="B13" s="75" t="str">
        <f>'Sprint Backlog'!D13</f>
        <v>Project &amp; role-based authorization in API</v>
      </c>
      <c r="C13" s="74" t="str">
        <f>'Sprint Backlog'!G13</f>
        <v>Krishna</v>
      </c>
      <c r="D13" s="76">
        <f>'Sprint Backlog'!K13</f>
        <v>46323</v>
      </c>
      <c r="E13" s="76">
        <f>'Sprint Backlog'!L13</f>
        <v>46324</v>
      </c>
      <c r="F13" s="77" t="str">
        <f>IF(AND(F$3&gt;=$D13,F$3&lt;=$E13),$C13,"")</f>
        <v/>
      </c>
      <c r="G13" s="77" t="str">
        <f>IF(AND(G$3&gt;=$D13,G$3&lt;=$E13),$C13,"")</f>
        <v/>
      </c>
      <c r="H13" s="77" t="str">
        <f>IF(AND(H$3&gt;=$D13,H$3&lt;=$E13),$C13,"")</f>
        <v>Krishna</v>
      </c>
      <c r="I13" s="77" t="str">
        <f>IF(AND(I$3&gt;=$D13,I$3&lt;=$E13),$C13,"")</f>
        <v>Krishna</v>
      </c>
      <c r="J13" s="94" t="str">
        <f>IF(AND(J$3&gt;=$D13,J$3&lt;=$E13),$C13,"")</f>
        <v/>
      </c>
      <c r="K13" s="77" t="str">
        <f>IF(AND(K$3&gt;=$D13,K$3&lt;=$E13),$C13,"")</f>
        <v/>
      </c>
      <c r="L13" s="77" t="str">
        <f>IF(AND(L$3&gt;=$D13,L$3&lt;=$E13),$C13,"")</f>
        <v/>
      </c>
      <c r="M13" s="77" t="str">
        <f>IF(AND(M$3&gt;=$D13,M$3&lt;=$E13),$C13,"")</f>
        <v/>
      </c>
      <c r="N13" s="77" t="str">
        <f>IF(AND(N$3&gt;=$D13,N$3&lt;=$E13),$C13,"")</f>
        <v/>
      </c>
      <c r="O13" s="90" t="str">
        <f>IF(AND(O$3&gt;=$D13,O$3&lt;=$E13),$C13,"")</f>
        <v/>
      </c>
    </row>
    <row r="14" spans="1:15" ht="20.25" customHeight="1">
      <c r="A14" s="87" t="str">
        <f>'Sprint Backlog'!A14</f>
        <v>S1-11</v>
      </c>
      <c r="B14" s="75" t="str">
        <f>'Sprint Backlog'!D14</f>
        <v>Audit log baseline</v>
      </c>
      <c r="C14" s="74" t="str">
        <f>'Sprint Backlog'!G14</f>
        <v>Krishna</v>
      </c>
      <c r="D14" s="76">
        <f>'Sprint Backlog'!K14</f>
        <v>46324</v>
      </c>
      <c r="E14" s="76">
        <f>'Sprint Backlog'!L14</f>
        <v>46325</v>
      </c>
      <c r="F14" s="77" t="str">
        <f>IF(AND(F$3&gt;=$D14,F$3&lt;=$E14),$C14,"")</f>
        <v/>
      </c>
      <c r="G14" s="77" t="str">
        <f>IF(AND(G$3&gt;=$D14,G$3&lt;=$E14),$C14,"")</f>
        <v/>
      </c>
      <c r="H14" s="77" t="str">
        <f>IF(AND(H$3&gt;=$D14,H$3&lt;=$E14),$C14,"")</f>
        <v/>
      </c>
      <c r="I14" s="77" t="str">
        <f>IF(AND(I$3&gt;=$D14,I$3&lt;=$E14),$C14,"")</f>
        <v>Krishna</v>
      </c>
      <c r="J14" s="94" t="str">
        <f>IF(AND(J$3&gt;=$D14,J$3&lt;=$E14),$C14,"")</f>
        <v>Krishna</v>
      </c>
      <c r="K14" s="77" t="str">
        <f>IF(AND(K$3&gt;=$D14,K$3&lt;=$E14),$C14,"")</f>
        <v/>
      </c>
      <c r="L14" s="77" t="str">
        <f>IF(AND(L$3&gt;=$D14,L$3&lt;=$E14),$C14,"")</f>
        <v/>
      </c>
      <c r="M14" s="77" t="str">
        <f>IF(AND(M$3&gt;=$D14,M$3&lt;=$E14),$C14,"")</f>
        <v/>
      </c>
      <c r="N14" s="77" t="str">
        <f>IF(AND(N$3&gt;=$D14,N$3&lt;=$E14),$C14,"")</f>
        <v/>
      </c>
      <c r="O14" s="90" t="str">
        <f>IF(AND(O$3&gt;=$D14,O$3&lt;=$E14),$C14,"")</f>
        <v/>
      </c>
    </row>
    <row r="15" spans="1:15" ht="20.25" customHeight="1">
      <c r="A15" s="87" t="str">
        <f>'Sprint Backlog'!A15</f>
        <v>S1-12</v>
      </c>
      <c r="B15" s="75" t="str">
        <f>'Sprint Backlog'!D15</f>
        <v>Audit log viewer (admin) – baseline UI</v>
      </c>
      <c r="C15" s="74" t="str">
        <f>'Sprint Backlog'!G15</f>
        <v>Nivas</v>
      </c>
      <c r="D15" s="76">
        <f>'Sprint Backlog'!K15</f>
        <v>46324</v>
      </c>
      <c r="E15" s="76">
        <f>'Sprint Backlog'!L15</f>
        <v>46325</v>
      </c>
      <c r="F15" s="77" t="str">
        <f>IF(AND(F$3&gt;=$D15,F$3&lt;=$E15),$C15,"")</f>
        <v/>
      </c>
      <c r="G15" s="77" t="str">
        <f>IF(AND(G$3&gt;=$D15,G$3&lt;=$E15),$C15,"")</f>
        <v/>
      </c>
      <c r="H15" s="77" t="str">
        <f>IF(AND(H$3&gt;=$D15,H$3&lt;=$E15),$C15,"")</f>
        <v/>
      </c>
      <c r="I15" s="77" t="str">
        <f>IF(AND(I$3&gt;=$D15,I$3&lt;=$E15),$C15,"")</f>
        <v>Nivas</v>
      </c>
      <c r="J15" s="94" t="str">
        <f>IF(AND(J$3&gt;=$D15,J$3&lt;=$E15),$C15,"")</f>
        <v>Nivas</v>
      </c>
      <c r="K15" s="77" t="str">
        <f>IF(AND(K$3&gt;=$D15,K$3&lt;=$E15),$C15,"")</f>
        <v/>
      </c>
      <c r="L15" s="77" t="str">
        <f>IF(AND(L$3&gt;=$D15,L$3&lt;=$E15),$C15,"")</f>
        <v/>
      </c>
      <c r="M15" s="77" t="str">
        <f>IF(AND(M$3&gt;=$D15,M$3&lt;=$E15),$C15,"")</f>
        <v/>
      </c>
      <c r="N15" s="77" t="str">
        <f>IF(AND(N$3&gt;=$D15,N$3&lt;=$E15),$C15,"")</f>
        <v/>
      </c>
      <c r="O15" s="90" t="str">
        <f>IF(AND(O$3&gt;=$D15,O$3&lt;=$E15),$C15,"")</f>
        <v/>
      </c>
    </row>
    <row r="16" spans="1:15" ht="20.25" customHeight="1">
      <c r="A16" s="87" t="str">
        <f>'Sprint Backlog'!A16</f>
        <v>S1-13</v>
      </c>
      <c r="B16" s="75" t="str">
        <f>'Sprint Backlog'!D16</f>
        <v>Negative authorization tests in CI</v>
      </c>
      <c r="C16" s="74" t="str">
        <f>'Sprint Backlog'!G16</f>
        <v>Nivas</v>
      </c>
      <c r="D16" s="76">
        <f>'Sprint Backlog'!K16</f>
        <v>46325</v>
      </c>
      <c r="E16" s="76">
        <f>'Sprint Backlog'!L16</f>
        <v>46325</v>
      </c>
      <c r="F16" s="77" t="str">
        <f>IF(AND(F$3&gt;=$D16,F$3&lt;=$E16),$C16,"")</f>
        <v/>
      </c>
      <c r="G16" s="77" t="str">
        <f>IF(AND(G$3&gt;=$D16,G$3&lt;=$E16),$C16,"")</f>
        <v/>
      </c>
      <c r="H16" s="77" t="str">
        <f>IF(AND(H$3&gt;=$D16,H$3&lt;=$E16),$C16,"")</f>
        <v/>
      </c>
      <c r="I16" s="77" t="str">
        <f>IF(AND(I$3&gt;=$D16,I$3&lt;=$E16),$C16,"")</f>
        <v/>
      </c>
      <c r="J16" s="94" t="str">
        <f>IF(AND(J$3&gt;=$D16,J$3&lt;=$E16),$C16,"")</f>
        <v>Nivas</v>
      </c>
      <c r="K16" s="77" t="str">
        <f>IF(AND(K$3&gt;=$D16,K$3&lt;=$E16),$C16,"")</f>
        <v/>
      </c>
      <c r="L16" s="77" t="str">
        <f>IF(AND(L$3&gt;=$D16,L$3&lt;=$E16),$C16,"")</f>
        <v/>
      </c>
      <c r="M16" s="77" t="str">
        <f>IF(AND(M$3&gt;=$D16,M$3&lt;=$E16),$C16,"")</f>
        <v/>
      </c>
      <c r="N16" s="77" t="str">
        <f>IF(AND(N$3&gt;=$D16,N$3&lt;=$E16),$C16,"")</f>
        <v/>
      </c>
      <c r="O16" s="90" t="str">
        <f>IF(AND(O$3&gt;=$D16,O$3&lt;=$E16),$C16,"")</f>
        <v/>
      </c>
    </row>
    <row r="17" spans="1:15" ht="20.25" customHeight="1">
      <c r="A17" s="87" t="str">
        <f>'Sprint Backlog'!A17</f>
        <v>S1-14</v>
      </c>
      <c r="B17" s="75" t="str">
        <f>'Sprint Backlog'!D17</f>
        <v>Spike: extraction &amp; embedding options</v>
      </c>
      <c r="C17" s="74" t="str">
        <f>'Sprint Backlog'!G17</f>
        <v>Krishna</v>
      </c>
      <c r="D17" s="76">
        <f>'Sprint Backlog'!K17</f>
        <v>46325</v>
      </c>
      <c r="E17" s="76">
        <f>'Sprint Backlog'!L17</f>
        <v>46325</v>
      </c>
      <c r="F17" s="77" t="str">
        <f>IF(AND(F$3&gt;=$D17,F$3&lt;=$E17),$C17,"")</f>
        <v/>
      </c>
      <c r="G17" s="77" t="str">
        <f>IF(AND(G$3&gt;=$D17,G$3&lt;=$E17),$C17,"")</f>
        <v/>
      </c>
      <c r="H17" s="77" t="str">
        <f>IF(AND(H$3&gt;=$D17,H$3&lt;=$E17),$C17,"")</f>
        <v/>
      </c>
      <c r="I17" s="77" t="str">
        <f>IF(AND(I$3&gt;=$D17,I$3&lt;=$E17),$C17,"")</f>
        <v/>
      </c>
      <c r="J17" s="94" t="str">
        <f>IF(AND(J$3&gt;=$D17,J$3&lt;=$E17),$C17,"")</f>
        <v>Krishna</v>
      </c>
      <c r="K17" s="77" t="str">
        <f>IF(AND(K$3&gt;=$D17,K$3&lt;=$E17),$C17,"")</f>
        <v/>
      </c>
      <c r="L17" s="77" t="str">
        <f>IF(AND(L$3&gt;=$D17,L$3&lt;=$E17),$C17,"")</f>
        <v/>
      </c>
      <c r="M17" s="77" t="str">
        <f>IF(AND(M$3&gt;=$D17,M$3&lt;=$E17),$C17,"")</f>
        <v/>
      </c>
      <c r="N17" s="77" t="str">
        <f>IF(AND(N$3&gt;=$D17,N$3&lt;=$E17),$C17,"")</f>
        <v/>
      </c>
      <c r="O17" s="90" t="str">
        <f>IF(AND(O$3&gt;=$D17,O$3&lt;=$E17),$C17,"")</f>
        <v/>
      </c>
    </row>
    <row r="18" spans="1:15" ht="20.25" customHeight="1">
      <c r="A18" s="96" t="str">
        <f>'Sprint Backlog'!A18</f>
        <v>S1-15</v>
      </c>
      <c r="B18" s="97" t="str">
        <f>'Sprint Backlog'!D18</f>
        <v>Sprint 1 review/demo + retrospective</v>
      </c>
      <c r="C18" s="98" t="str">
        <f>'Sprint Backlog'!G18</f>
        <v>Both</v>
      </c>
      <c r="D18" s="99">
        <f>'Sprint Backlog'!K18</f>
        <v>46325</v>
      </c>
      <c r="E18" s="99">
        <f>'Sprint Backlog'!L18</f>
        <v>46325</v>
      </c>
      <c r="F18" s="100" t="str">
        <f>IF(AND(F$3&gt;=$D18,F$3&lt;=$E18),$C18,"")</f>
        <v/>
      </c>
      <c r="G18" s="100" t="str">
        <f>IF(AND(G$3&gt;=$D18,G$3&lt;=$E18),$C18,"")</f>
        <v/>
      </c>
      <c r="H18" s="100" t="str">
        <f>IF(AND(H$3&gt;=$D18,H$3&lt;=$E18),$C18,"")</f>
        <v/>
      </c>
      <c r="I18" s="100" t="str">
        <f>IF(AND(I$3&gt;=$D18,I$3&lt;=$E18),$C18,"")</f>
        <v/>
      </c>
      <c r="J18" s="101" t="str">
        <f>IF(AND(J$3&gt;=$D18,J$3&lt;=$E18),$C18,"")</f>
        <v>Both</v>
      </c>
      <c r="K18" s="100" t="str">
        <f>IF(AND(K$3&gt;=$D18,K$3&lt;=$E18),$C18,"")</f>
        <v/>
      </c>
      <c r="L18" s="100" t="str">
        <f>IF(AND(L$3&gt;=$D18,L$3&lt;=$E18),$C18,"")</f>
        <v/>
      </c>
      <c r="M18" s="100" t="str">
        <f>IF(AND(M$3&gt;=$D18,M$3&lt;=$E18),$C18,"")</f>
        <v/>
      </c>
      <c r="N18" s="100" t="str">
        <f>IF(AND(N$3&gt;=$D18,N$3&lt;=$E18),$C18,"")</f>
        <v/>
      </c>
      <c r="O18" s="102" t="str">
        <f>IF(AND(O$3&gt;=$D18,O$3&lt;=$E18),$C18,"")</f>
        <v/>
      </c>
    </row>
    <row r="19" spans="1:15" ht="20.25" customHeight="1">
      <c r="A19" s="87" t="str">
        <f>'Sprint Backlog'!A19</f>
        <v>S2-01</v>
      </c>
      <c r="B19" s="75" t="str">
        <f>'Sprint Backlog'!D19</f>
        <v>Sprint 2 planning &amp; source-approval checkpoint</v>
      </c>
      <c r="C19" s="74" t="str">
        <f>'Sprint Backlog'!G19</f>
        <v>Both</v>
      </c>
      <c r="D19" s="76">
        <f>'Sprint Backlog'!K19</f>
        <v>46328</v>
      </c>
      <c r="E19" s="76">
        <f>'Sprint Backlog'!L19</f>
        <v>46328</v>
      </c>
      <c r="F19" s="77" t="str">
        <f>IF(AND(F$3&gt;=$D19,F$3&lt;=$E19),$C19,"")</f>
        <v/>
      </c>
      <c r="G19" s="77" t="str">
        <f>IF(AND(G$3&gt;=$D19,G$3&lt;=$E19),$C19,"")</f>
        <v/>
      </c>
      <c r="H19" s="77" t="str">
        <f>IF(AND(H$3&gt;=$D19,H$3&lt;=$E19),$C19,"")</f>
        <v/>
      </c>
      <c r="I19" s="77" t="str">
        <f>IF(AND(I$3&gt;=$D19,I$3&lt;=$E19),$C19,"")</f>
        <v/>
      </c>
      <c r="J19" s="94" t="str">
        <f>IF(AND(J$3&gt;=$D19,J$3&lt;=$E19),$C19,"")</f>
        <v/>
      </c>
      <c r="K19" s="77" t="str">
        <f>IF(AND(K$3&gt;=$D19,K$3&lt;=$E19),$C19,"")</f>
        <v>Both</v>
      </c>
      <c r="L19" s="77" t="str">
        <f>IF(AND(L$3&gt;=$D19,L$3&lt;=$E19),$C19,"")</f>
        <v/>
      </c>
      <c r="M19" s="77" t="str">
        <f>IF(AND(M$3&gt;=$D19,M$3&lt;=$E19),$C19,"")</f>
        <v/>
      </c>
      <c r="N19" s="77" t="str">
        <f>IF(AND(N$3&gt;=$D19,N$3&lt;=$E19),$C19,"")</f>
        <v/>
      </c>
      <c r="O19" s="90" t="str">
        <f>IF(AND(O$3&gt;=$D19,O$3&lt;=$E19),$C19,"")</f>
        <v/>
      </c>
    </row>
    <row r="20" spans="1:15" ht="20.25" customHeight="1">
      <c r="A20" s="87" t="str">
        <f>'Sprint Backlog'!A20</f>
        <v>S2-02</v>
      </c>
      <c r="B20" s="75" t="str">
        <f>'Sprint Backlog'!D20</f>
        <v>Daily stand-ups (5 × 15 min)</v>
      </c>
      <c r="C20" s="74" t="str">
        <f>'Sprint Backlog'!G20</f>
        <v>Both</v>
      </c>
      <c r="D20" s="76">
        <f>'Sprint Backlog'!K20</f>
        <v>46328</v>
      </c>
      <c r="E20" s="76">
        <f>'Sprint Backlog'!L20</f>
        <v>46332</v>
      </c>
      <c r="F20" s="77" t="str">
        <f>IF(AND(F$3&gt;=$D20,F$3&lt;=$E20),$C20,"")</f>
        <v/>
      </c>
      <c r="G20" s="77" t="str">
        <f>IF(AND(G$3&gt;=$D20,G$3&lt;=$E20),$C20,"")</f>
        <v/>
      </c>
      <c r="H20" s="77" t="str">
        <f>IF(AND(H$3&gt;=$D20,H$3&lt;=$E20),$C20,"")</f>
        <v/>
      </c>
      <c r="I20" s="77" t="str">
        <f>IF(AND(I$3&gt;=$D20,I$3&lt;=$E20),$C20,"")</f>
        <v/>
      </c>
      <c r="J20" s="94" t="str">
        <f>IF(AND(J$3&gt;=$D20,J$3&lt;=$E20),$C20,"")</f>
        <v/>
      </c>
      <c r="K20" s="77" t="str">
        <f>IF(AND(K$3&gt;=$D20,K$3&lt;=$E20),$C20,"")</f>
        <v>Both</v>
      </c>
      <c r="L20" s="77" t="str">
        <f>IF(AND(L$3&gt;=$D20,L$3&lt;=$E20),$C20,"")</f>
        <v>Both</v>
      </c>
      <c r="M20" s="77" t="str">
        <f>IF(AND(M$3&gt;=$D20,M$3&lt;=$E20),$C20,"")</f>
        <v>Both</v>
      </c>
      <c r="N20" s="77" t="str">
        <f>IF(AND(N$3&gt;=$D20,N$3&lt;=$E20),$C20,"")</f>
        <v>Both</v>
      </c>
      <c r="O20" s="90" t="str">
        <f>IF(AND(O$3&gt;=$D20,O$3&lt;=$E20),$C20,"")</f>
        <v>Both</v>
      </c>
    </row>
    <row r="21" spans="1:15" ht="20.25" customHeight="1">
      <c r="A21" s="87" t="str">
        <f>'Sprint Backlog'!A21</f>
        <v>S2-03</v>
      </c>
      <c r="B21" s="75" t="str">
        <f>'Sprint Backlog'!D21</f>
        <v>Document ingestion pipeline</v>
      </c>
      <c r="C21" s="74" t="str">
        <f>'Sprint Backlog'!G21</f>
        <v>Krishna</v>
      </c>
      <c r="D21" s="76">
        <f>'Sprint Backlog'!K21</f>
        <v>46328</v>
      </c>
      <c r="E21" s="76">
        <f>'Sprint Backlog'!L21</f>
        <v>46329</v>
      </c>
      <c r="F21" s="77" t="str">
        <f>IF(AND(F$3&gt;=$D21,F$3&lt;=$E21),$C21,"")</f>
        <v/>
      </c>
      <c r="G21" s="77" t="str">
        <f>IF(AND(G$3&gt;=$D21,G$3&lt;=$E21),$C21,"")</f>
        <v/>
      </c>
      <c r="H21" s="77" t="str">
        <f>IF(AND(H$3&gt;=$D21,H$3&lt;=$E21),$C21,"")</f>
        <v/>
      </c>
      <c r="I21" s="77" t="str">
        <f>IF(AND(I$3&gt;=$D21,I$3&lt;=$E21),$C21,"")</f>
        <v/>
      </c>
      <c r="J21" s="94" t="str">
        <f>IF(AND(J$3&gt;=$D21,J$3&lt;=$E21),$C21,"")</f>
        <v/>
      </c>
      <c r="K21" s="77" t="str">
        <f>IF(AND(K$3&gt;=$D21,K$3&lt;=$E21),$C21,"")</f>
        <v>Krishna</v>
      </c>
      <c r="L21" s="77" t="str">
        <f>IF(AND(L$3&gt;=$D21,L$3&lt;=$E21),$C21,"")</f>
        <v>Krishna</v>
      </c>
      <c r="M21" s="77" t="str">
        <f>IF(AND(M$3&gt;=$D21,M$3&lt;=$E21),$C21,"")</f>
        <v/>
      </c>
      <c r="N21" s="77" t="str">
        <f>IF(AND(N$3&gt;=$D21,N$3&lt;=$E21),$C21,"")</f>
        <v/>
      </c>
      <c r="O21" s="90" t="str">
        <f>IF(AND(O$3&gt;=$D21,O$3&lt;=$E21),$C21,"")</f>
        <v/>
      </c>
    </row>
    <row r="22" spans="1:15" ht="20.25" customHeight="1">
      <c r="A22" s="87" t="str">
        <f>'Sprint Backlog'!A22</f>
        <v>S2-04</v>
      </c>
      <c r="B22" s="75" t="str">
        <f>'Sprint Backlog'!D22</f>
        <v>CI/CD: container images &amp; integration stage</v>
      </c>
      <c r="C22" s="74" t="str">
        <f>'Sprint Backlog'!G22</f>
        <v>Nivas</v>
      </c>
      <c r="D22" s="76">
        <f>'Sprint Backlog'!K22</f>
        <v>46328</v>
      </c>
      <c r="E22" s="76">
        <f>'Sprint Backlog'!L22</f>
        <v>46328</v>
      </c>
      <c r="F22" s="77" t="str">
        <f>IF(AND(F$3&gt;=$D22,F$3&lt;=$E22),$C22,"")</f>
        <v/>
      </c>
      <c r="G22" s="77" t="str">
        <f>IF(AND(G$3&gt;=$D22,G$3&lt;=$E22),$C22,"")</f>
        <v/>
      </c>
      <c r="H22" s="77" t="str">
        <f>IF(AND(H$3&gt;=$D22,H$3&lt;=$E22),$C22,"")</f>
        <v/>
      </c>
      <c r="I22" s="77" t="str">
        <f>IF(AND(I$3&gt;=$D22,I$3&lt;=$E22),$C22,"")</f>
        <v/>
      </c>
      <c r="J22" s="94" t="str">
        <f>IF(AND(J$3&gt;=$D22,J$3&lt;=$E22),$C22,"")</f>
        <v/>
      </c>
      <c r="K22" s="77" t="str">
        <f>IF(AND(K$3&gt;=$D22,K$3&lt;=$E22),$C22,"")</f>
        <v>Nivas</v>
      </c>
      <c r="L22" s="77" t="str">
        <f>IF(AND(L$3&gt;=$D22,L$3&lt;=$E22),$C22,"")</f>
        <v/>
      </c>
      <c r="M22" s="77" t="str">
        <f>IF(AND(M$3&gt;=$D22,M$3&lt;=$E22),$C22,"")</f>
        <v/>
      </c>
      <c r="N22" s="77" t="str">
        <f>IF(AND(N$3&gt;=$D22,N$3&lt;=$E22),$C22,"")</f>
        <v/>
      </c>
      <c r="O22" s="90" t="str">
        <f>IF(AND(O$3&gt;=$D22,O$3&lt;=$E22),$C22,"")</f>
        <v/>
      </c>
    </row>
    <row r="23" spans="1:15" ht="20.25" customHeight="1">
      <c r="A23" s="87" t="str">
        <f>'Sprint Backlog'!A23</f>
        <v>S2-05</v>
      </c>
      <c r="B23" s="75" t="str">
        <f>'Sprint Backlog'!D23</f>
        <v>Document library UI</v>
      </c>
      <c r="C23" s="74" t="str">
        <f>'Sprint Backlog'!G23</f>
        <v>Nivas</v>
      </c>
      <c r="D23" s="76">
        <f>'Sprint Backlog'!K23</f>
        <v>46329</v>
      </c>
      <c r="E23" s="76">
        <f>'Sprint Backlog'!L23</f>
        <v>46330</v>
      </c>
      <c r="F23" s="77" t="str">
        <f>IF(AND(F$3&gt;=$D23,F$3&lt;=$E23),$C23,"")</f>
        <v/>
      </c>
      <c r="G23" s="77" t="str">
        <f>IF(AND(G$3&gt;=$D23,G$3&lt;=$E23),$C23,"")</f>
        <v/>
      </c>
      <c r="H23" s="77" t="str">
        <f>IF(AND(H$3&gt;=$D23,H$3&lt;=$E23),$C23,"")</f>
        <v/>
      </c>
      <c r="I23" s="77" t="str">
        <f>IF(AND(I$3&gt;=$D23,I$3&lt;=$E23),$C23,"")</f>
        <v/>
      </c>
      <c r="J23" s="94" t="str">
        <f>IF(AND(J$3&gt;=$D23,J$3&lt;=$E23),$C23,"")</f>
        <v/>
      </c>
      <c r="K23" s="77" t="str">
        <f>IF(AND(K$3&gt;=$D23,K$3&lt;=$E23),$C23,"")</f>
        <v/>
      </c>
      <c r="L23" s="77" t="str">
        <f>IF(AND(L$3&gt;=$D23,L$3&lt;=$E23),$C23,"")</f>
        <v>Nivas</v>
      </c>
      <c r="M23" s="77" t="str">
        <f>IF(AND(M$3&gt;=$D23,M$3&lt;=$E23),$C23,"")</f>
        <v>Nivas</v>
      </c>
      <c r="N23" s="77" t="str">
        <f>IF(AND(N$3&gt;=$D23,N$3&lt;=$E23),$C23,"")</f>
        <v/>
      </c>
      <c r="O23" s="90" t="str">
        <f>IF(AND(O$3&gt;=$D23,O$3&lt;=$E23),$C23,"")</f>
        <v/>
      </c>
    </row>
    <row r="24" spans="1:15" ht="20.25" customHeight="1">
      <c r="A24" s="87" t="str">
        <f>'Sprint Backlog'!A24</f>
        <v>S2-06</v>
      </c>
      <c r="B24" s="75" t="str">
        <f>'Sprint Backlog'!D24</f>
        <v>Chunking + embeddings into pgvector</v>
      </c>
      <c r="C24" s="74" t="str">
        <f>'Sprint Backlog'!G24</f>
        <v>Krishna</v>
      </c>
      <c r="D24" s="76">
        <f>'Sprint Backlog'!K24</f>
        <v>46329</v>
      </c>
      <c r="E24" s="76">
        <f>'Sprint Backlog'!L24</f>
        <v>46330</v>
      </c>
      <c r="F24" s="77" t="str">
        <f>IF(AND(F$3&gt;=$D24,F$3&lt;=$E24),$C24,"")</f>
        <v/>
      </c>
      <c r="G24" s="77" t="str">
        <f>IF(AND(G$3&gt;=$D24,G$3&lt;=$E24),$C24,"")</f>
        <v/>
      </c>
      <c r="H24" s="77" t="str">
        <f>IF(AND(H$3&gt;=$D24,H$3&lt;=$E24),$C24,"")</f>
        <v/>
      </c>
      <c r="I24" s="77" t="str">
        <f>IF(AND(I$3&gt;=$D24,I$3&lt;=$E24),$C24,"")</f>
        <v/>
      </c>
      <c r="J24" s="94" t="str">
        <f>IF(AND(J$3&gt;=$D24,J$3&lt;=$E24),$C24,"")</f>
        <v/>
      </c>
      <c r="K24" s="77" t="str">
        <f>IF(AND(K$3&gt;=$D24,K$3&lt;=$E24),$C24,"")</f>
        <v/>
      </c>
      <c r="L24" s="77" t="str">
        <f>IF(AND(L$3&gt;=$D24,L$3&lt;=$E24),$C24,"")</f>
        <v>Krishna</v>
      </c>
      <c r="M24" s="77" t="str">
        <f>IF(AND(M$3&gt;=$D24,M$3&lt;=$E24),$C24,"")</f>
        <v>Krishna</v>
      </c>
      <c r="N24" s="77" t="str">
        <f>IF(AND(N$3&gt;=$D24,N$3&lt;=$E24),$C24,"")</f>
        <v/>
      </c>
      <c r="O24" s="90" t="str">
        <f>IF(AND(O$3&gt;=$D24,O$3&lt;=$E24),$C24,"")</f>
        <v/>
      </c>
    </row>
    <row r="25" spans="1:15" ht="20.25" customHeight="1">
      <c r="A25" s="87" t="str">
        <f>'Sprint Backlog'!A25</f>
        <v>S2-07</v>
      </c>
      <c r="B25" s="75" t="str">
        <f>'Sprint Backlog'!D25</f>
        <v>Hybrid retrieval with server-side filters</v>
      </c>
      <c r="C25" s="74" t="str">
        <f>'Sprint Backlog'!G25</f>
        <v>Krishna</v>
      </c>
      <c r="D25" s="76">
        <f>'Sprint Backlog'!K25</f>
        <v>46330</v>
      </c>
      <c r="E25" s="76">
        <f>'Sprint Backlog'!L25</f>
        <v>46331</v>
      </c>
      <c r="F25" s="77" t="str">
        <f>IF(AND(F$3&gt;=$D25,F$3&lt;=$E25),$C25,"")</f>
        <v/>
      </c>
      <c r="G25" s="77" t="str">
        <f>IF(AND(G$3&gt;=$D25,G$3&lt;=$E25),$C25,"")</f>
        <v/>
      </c>
      <c r="H25" s="77" t="str">
        <f>IF(AND(H$3&gt;=$D25,H$3&lt;=$E25),$C25,"")</f>
        <v/>
      </c>
      <c r="I25" s="77" t="str">
        <f>IF(AND(I$3&gt;=$D25,I$3&lt;=$E25),$C25,"")</f>
        <v/>
      </c>
      <c r="J25" s="94" t="str">
        <f>IF(AND(J$3&gt;=$D25,J$3&lt;=$E25),$C25,"")</f>
        <v/>
      </c>
      <c r="K25" s="77" t="str">
        <f>IF(AND(K$3&gt;=$D25,K$3&lt;=$E25),$C25,"")</f>
        <v/>
      </c>
      <c r="L25" s="77" t="str">
        <f>IF(AND(L$3&gt;=$D25,L$3&lt;=$E25),$C25,"")</f>
        <v/>
      </c>
      <c r="M25" s="77" t="str">
        <f>IF(AND(M$3&gt;=$D25,M$3&lt;=$E25),$C25,"")</f>
        <v>Krishna</v>
      </c>
      <c r="N25" s="77" t="str">
        <f>IF(AND(N$3&gt;=$D25,N$3&lt;=$E25),$C25,"")</f>
        <v>Krishna</v>
      </c>
      <c r="O25" s="90" t="str">
        <f>IF(AND(O$3&gt;=$D25,O$3&lt;=$E25),$C25,"")</f>
        <v/>
      </c>
    </row>
    <row r="26" spans="1:15" ht="20.25" customHeight="1">
      <c r="A26" s="87" t="str">
        <f>'Sprint Backlog'!A26</f>
        <v>S2-08</v>
      </c>
      <c r="B26" s="75" t="str">
        <f>'Sprint Backlog'!D26</f>
        <v>Scientist Q&amp;A UI: question → cited answer</v>
      </c>
      <c r="C26" s="74" t="str">
        <f>'Sprint Backlog'!G26</f>
        <v>Nivas</v>
      </c>
      <c r="D26" s="76">
        <f>'Sprint Backlog'!K26</f>
        <v>46330</v>
      </c>
      <c r="E26" s="76">
        <f>'Sprint Backlog'!L26</f>
        <v>46331</v>
      </c>
      <c r="F26" s="77" t="str">
        <f>IF(AND(F$3&gt;=$D26,F$3&lt;=$E26),$C26,"")</f>
        <v/>
      </c>
      <c r="G26" s="77" t="str">
        <f>IF(AND(G$3&gt;=$D26,G$3&lt;=$E26),$C26,"")</f>
        <v/>
      </c>
      <c r="H26" s="77" t="str">
        <f>IF(AND(H$3&gt;=$D26,H$3&lt;=$E26),$C26,"")</f>
        <v/>
      </c>
      <c r="I26" s="77" t="str">
        <f>IF(AND(I$3&gt;=$D26,I$3&lt;=$E26),$C26,"")</f>
        <v/>
      </c>
      <c r="J26" s="94" t="str">
        <f>IF(AND(J$3&gt;=$D26,J$3&lt;=$E26),$C26,"")</f>
        <v/>
      </c>
      <c r="K26" s="77" t="str">
        <f>IF(AND(K$3&gt;=$D26,K$3&lt;=$E26),$C26,"")</f>
        <v/>
      </c>
      <c r="L26" s="77" t="str">
        <f>IF(AND(L$3&gt;=$D26,L$3&lt;=$E26),$C26,"")</f>
        <v/>
      </c>
      <c r="M26" s="77" t="str">
        <f>IF(AND(M$3&gt;=$D26,M$3&lt;=$E26),$C26,"")</f>
        <v>Nivas</v>
      </c>
      <c r="N26" s="77" t="str">
        <f>IF(AND(N$3&gt;=$D26,N$3&lt;=$E26),$C26,"")</f>
        <v>Nivas</v>
      </c>
      <c r="O26" s="90" t="str">
        <f>IF(AND(O$3&gt;=$D26,O$3&lt;=$E26),$C26,"")</f>
        <v/>
      </c>
    </row>
    <row r="27" spans="1:15" ht="20.25" customHeight="1">
      <c r="A27" s="87" t="str">
        <f>'Sprint Backlog'!A27</f>
        <v>S2-09</v>
      </c>
      <c r="B27" s="75" t="str">
        <f>'Sprint Backlog'!D27</f>
        <v>LangGraph evidence Q&amp;A workflow with human-review gate</v>
      </c>
      <c r="C27" s="74" t="str">
        <f>'Sprint Backlog'!G27</f>
        <v>Krishna</v>
      </c>
      <c r="D27" s="76">
        <f>'Sprint Backlog'!K27</f>
        <v>46331</v>
      </c>
      <c r="E27" s="76">
        <f>'Sprint Backlog'!L27</f>
        <v>46332</v>
      </c>
      <c r="F27" s="77" t="str">
        <f>IF(AND(F$3&gt;=$D27,F$3&lt;=$E27),$C27,"")</f>
        <v/>
      </c>
      <c r="G27" s="77" t="str">
        <f>IF(AND(G$3&gt;=$D27,G$3&lt;=$E27),$C27,"")</f>
        <v/>
      </c>
      <c r="H27" s="77" t="str">
        <f>IF(AND(H$3&gt;=$D27,H$3&lt;=$E27),$C27,"")</f>
        <v/>
      </c>
      <c r="I27" s="77" t="str">
        <f>IF(AND(I$3&gt;=$D27,I$3&lt;=$E27),$C27,"")</f>
        <v/>
      </c>
      <c r="J27" s="94" t="str">
        <f>IF(AND(J$3&gt;=$D27,J$3&lt;=$E27),$C27,"")</f>
        <v/>
      </c>
      <c r="K27" s="77" t="str">
        <f>IF(AND(K$3&gt;=$D27,K$3&lt;=$E27),$C27,"")</f>
        <v/>
      </c>
      <c r="L27" s="77" t="str">
        <f>IF(AND(L$3&gt;=$D27,L$3&lt;=$E27),$C27,"")</f>
        <v/>
      </c>
      <c r="M27" s="77" t="str">
        <f>IF(AND(M$3&gt;=$D27,M$3&lt;=$E27),$C27,"")</f>
        <v/>
      </c>
      <c r="N27" s="77" t="str">
        <f>IF(AND(N$3&gt;=$D27,N$3&lt;=$E27),$C27,"")</f>
        <v>Krishna</v>
      </c>
      <c r="O27" s="90" t="str">
        <f>IF(AND(O$3&gt;=$D27,O$3&lt;=$E27),$C27,"")</f>
        <v>Krishna</v>
      </c>
    </row>
    <row r="28" spans="1:15" ht="20.25" customHeight="1">
      <c r="A28" s="87" t="str">
        <f>'Sprint Backlog'!A28</f>
        <v>S2-10</v>
      </c>
      <c r="B28" s="75" t="str">
        <f>'Sprint Backlog'!D28</f>
        <v>Human-review gate UI</v>
      </c>
      <c r="C28" s="74" t="str">
        <f>'Sprint Backlog'!G28</f>
        <v>Nivas</v>
      </c>
      <c r="D28" s="76">
        <f>'Sprint Backlog'!K28</f>
        <v>46331</v>
      </c>
      <c r="E28" s="76">
        <f>'Sprint Backlog'!L28</f>
        <v>46331</v>
      </c>
      <c r="F28" s="77" t="str">
        <f>IF(AND(F$3&gt;=$D28,F$3&lt;=$E28),$C28,"")</f>
        <v/>
      </c>
      <c r="G28" s="77" t="str">
        <f>IF(AND(G$3&gt;=$D28,G$3&lt;=$E28),$C28,"")</f>
        <v/>
      </c>
      <c r="H28" s="77" t="str">
        <f>IF(AND(H$3&gt;=$D28,H$3&lt;=$E28),$C28,"")</f>
        <v/>
      </c>
      <c r="I28" s="77" t="str">
        <f>IF(AND(I$3&gt;=$D28,I$3&lt;=$E28),$C28,"")</f>
        <v/>
      </c>
      <c r="J28" s="94" t="str">
        <f>IF(AND(J$3&gt;=$D28,J$3&lt;=$E28),$C28,"")</f>
        <v/>
      </c>
      <c r="K28" s="77" t="str">
        <f>IF(AND(K$3&gt;=$D28,K$3&lt;=$E28),$C28,"")</f>
        <v/>
      </c>
      <c r="L28" s="77" t="str">
        <f>IF(AND(L$3&gt;=$D28,L$3&lt;=$E28),$C28,"")</f>
        <v/>
      </c>
      <c r="M28" s="77" t="str">
        <f>IF(AND(M$3&gt;=$D28,M$3&lt;=$E28),$C28,"")</f>
        <v/>
      </c>
      <c r="N28" s="77" t="str">
        <f>IF(AND(N$3&gt;=$D28,N$3&lt;=$E28),$C28,"")</f>
        <v>Nivas</v>
      </c>
      <c r="O28" s="90" t="str">
        <f>IF(AND(O$3&gt;=$D28,O$3&lt;=$E28),$C28,"")</f>
        <v/>
      </c>
    </row>
    <row r="29" spans="1:15" ht="20.25" customHeight="1">
      <c r="A29" s="87" t="str">
        <f>'Sprint Backlog'!A29</f>
        <v>S2-11</v>
      </c>
      <c r="B29" s="75" t="str">
        <f>'Sprint Backlog'!D29</f>
        <v>Audit view extensions for ingestion &amp; review</v>
      </c>
      <c r="C29" s="74" t="str">
        <f>'Sprint Backlog'!G29</f>
        <v>Nivas</v>
      </c>
      <c r="D29" s="76">
        <f>'Sprint Backlog'!K29</f>
        <v>46332</v>
      </c>
      <c r="E29" s="76">
        <f>'Sprint Backlog'!L29</f>
        <v>46332</v>
      </c>
      <c r="F29" s="77" t="str">
        <f>IF(AND(F$3&gt;=$D29,F$3&lt;=$E29),$C29,"")</f>
        <v/>
      </c>
      <c r="G29" s="77" t="str">
        <f>IF(AND(G$3&gt;=$D29,G$3&lt;=$E29),$C29,"")</f>
        <v/>
      </c>
      <c r="H29" s="77" t="str">
        <f>IF(AND(H$3&gt;=$D29,H$3&lt;=$E29),$C29,"")</f>
        <v/>
      </c>
      <c r="I29" s="77" t="str">
        <f>IF(AND(I$3&gt;=$D29,I$3&lt;=$E29),$C29,"")</f>
        <v/>
      </c>
      <c r="J29" s="94" t="str">
        <f>IF(AND(J$3&gt;=$D29,J$3&lt;=$E29),$C29,"")</f>
        <v/>
      </c>
      <c r="K29" s="77" t="str">
        <f>IF(AND(K$3&gt;=$D29,K$3&lt;=$E29),$C29,"")</f>
        <v/>
      </c>
      <c r="L29" s="77" t="str">
        <f>IF(AND(L$3&gt;=$D29,L$3&lt;=$E29),$C29,"")</f>
        <v/>
      </c>
      <c r="M29" s="77" t="str">
        <f>IF(AND(M$3&gt;=$D29,M$3&lt;=$E29),$C29,"")</f>
        <v/>
      </c>
      <c r="N29" s="77" t="str">
        <f>IF(AND(N$3&gt;=$D29,N$3&lt;=$E29),$C29,"")</f>
        <v/>
      </c>
      <c r="O29" s="90" t="str">
        <f>IF(AND(O$3&gt;=$D29,O$3&lt;=$E29),$C29,"")</f>
        <v>Nivas</v>
      </c>
    </row>
    <row r="30" spans="1:15" ht="20.25" customHeight="1">
      <c r="A30" s="87" t="str">
        <f>'Sprint Backlog'!A30</f>
        <v>S2-12</v>
      </c>
      <c r="B30" s="75" t="str">
        <f>'Sprint Backlog'!D30</f>
        <v>Retrieval security &amp; provenance tests</v>
      </c>
      <c r="C30" s="74" t="str">
        <f>'Sprint Backlog'!G30</f>
        <v>Krishna</v>
      </c>
      <c r="D30" s="76">
        <f>'Sprint Backlog'!K30</f>
        <v>46332</v>
      </c>
      <c r="E30" s="76">
        <f>'Sprint Backlog'!L30</f>
        <v>46332</v>
      </c>
      <c r="F30" s="77" t="str">
        <f>IF(AND(F$3&gt;=$D30,F$3&lt;=$E30),$C30,"")</f>
        <v/>
      </c>
      <c r="G30" s="77" t="str">
        <f>IF(AND(G$3&gt;=$D30,G$3&lt;=$E30),$C30,"")</f>
        <v/>
      </c>
      <c r="H30" s="77" t="str">
        <f>IF(AND(H$3&gt;=$D30,H$3&lt;=$E30),$C30,"")</f>
        <v/>
      </c>
      <c r="I30" s="77" t="str">
        <f>IF(AND(I$3&gt;=$D30,I$3&lt;=$E30),$C30,"")</f>
        <v/>
      </c>
      <c r="J30" s="94" t="str">
        <f>IF(AND(J$3&gt;=$D30,J$3&lt;=$E30),$C30,"")</f>
        <v/>
      </c>
      <c r="K30" s="77" t="str">
        <f>IF(AND(K$3&gt;=$D30,K$3&lt;=$E30),$C30,"")</f>
        <v/>
      </c>
      <c r="L30" s="77" t="str">
        <f>IF(AND(L$3&gt;=$D30,L$3&lt;=$E30),$C30,"")</f>
        <v/>
      </c>
      <c r="M30" s="77" t="str">
        <f>IF(AND(M$3&gt;=$D30,M$3&lt;=$E30),$C30,"")</f>
        <v/>
      </c>
      <c r="N30" s="77" t="str">
        <f>IF(AND(N$3&gt;=$D30,N$3&lt;=$E30),$C30,"")</f>
        <v/>
      </c>
      <c r="O30" s="90" t="str">
        <f>IF(AND(O$3&gt;=$D30,O$3&lt;=$E30),$C30,"")</f>
        <v>Krishna</v>
      </c>
    </row>
    <row r="31" spans="1:15" ht="20.25" customHeight="1">
      <c r="A31" s="87" t="str">
        <f>'Sprint Backlog'!A31</f>
        <v>S2-13</v>
      </c>
      <c r="B31" s="75" t="str">
        <f>'Sprint Backlog'!D31</f>
        <v>End-to-end UI tests</v>
      </c>
      <c r="C31" s="74" t="str">
        <f>'Sprint Backlog'!G31</f>
        <v>Nivas</v>
      </c>
      <c r="D31" s="76">
        <f>'Sprint Backlog'!K31</f>
        <v>46332</v>
      </c>
      <c r="E31" s="76">
        <f>'Sprint Backlog'!L31</f>
        <v>46332</v>
      </c>
      <c r="F31" s="77" t="str">
        <f>IF(AND(F$3&gt;=$D31,F$3&lt;=$E31),$C31,"")</f>
        <v/>
      </c>
      <c r="G31" s="77" t="str">
        <f>IF(AND(G$3&gt;=$D31,G$3&lt;=$E31),$C31,"")</f>
        <v/>
      </c>
      <c r="H31" s="77" t="str">
        <f>IF(AND(H$3&gt;=$D31,H$3&lt;=$E31),$C31,"")</f>
        <v/>
      </c>
      <c r="I31" s="77" t="str">
        <f>IF(AND(I$3&gt;=$D31,I$3&lt;=$E31),$C31,"")</f>
        <v/>
      </c>
      <c r="J31" s="94" t="str">
        <f>IF(AND(J$3&gt;=$D31,J$3&lt;=$E31),$C31,"")</f>
        <v/>
      </c>
      <c r="K31" s="77" t="str">
        <f>IF(AND(K$3&gt;=$D31,K$3&lt;=$E31),$C31,"")</f>
        <v/>
      </c>
      <c r="L31" s="77" t="str">
        <f>IF(AND(L$3&gt;=$D31,L$3&lt;=$E31),$C31,"")</f>
        <v/>
      </c>
      <c r="M31" s="77" t="str">
        <f>IF(AND(M$3&gt;=$D31,M$3&lt;=$E31),$C31,"")</f>
        <v/>
      </c>
      <c r="N31" s="77" t="str">
        <f>IF(AND(N$3&gt;=$D31,N$3&lt;=$E31),$C31,"")</f>
        <v/>
      </c>
      <c r="O31" s="90" t="str">
        <f>IF(AND(O$3&gt;=$D31,O$3&lt;=$E31),$C31,"")</f>
        <v>Nivas</v>
      </c>
    </row>
    <row r="32" spans="1:15" ht="20.25" customHeight="1">
      <c r="A32" s="88" t="str">
        <f>'Sprint Backlog'!A32</f>
        <v>S2-14</v>
      </c>
      <c r="B32" s="83" t="str">
        <f>'Sprint Backlog'!D32</f>
        <v>Sprint 2 review/demo + retrospective</v>
      </c>
      <c r="C32" s="82" t="str">
        <f>'Sprint Backlog'!G32</f>
        <v>Both</v>
      </c>
      <c r="D32" s="84">
        <f>'Sprint Backlog'!K32</f>
        <v>46332</v>
      </c>
      <c r="E32" s="84">
        <f>'Sprint Backlog'!L32</f>
        <v>46332</v>
      </c>
      <c r="F32" s="85" t="str">
        <f>IF(AND(F$3&gt;=$D32,F$3&lt;=$E32),$C32,"")</f>
        <v/>
      </c>
      <c r="G32" s="85" t="str">
        <f>IF(AND(G$3&gt;=$D32,G$3&lt;=$E32),$C32,"")</f>
        <v/>
      </c>
      <c r="H32" s="85" t="str">
        <f>IF(AND(H$3&gt;=$D32,H$3&lt;=$E32),$C32,"")</f>
        <v/>
      </c>
      <c r="I32" s="85" t="str">
        <f>IF(AND(I$3&gt;=$D32,I$3&lt;=$E32),$C32,"")</f>
        <v/>
      </c>
      <c r="J32" s="95" t="str">
        <f>IF(AND(J$3&gt;=$D32,J$3&lt;=$E32),$C32,"")</f>
        <v/>
      </c>
      <c r="K32" s="85" t="str">
        <f>IF(AND(K$3&gt;=$D32,K$3&lt;=$E32),$C32,"")</f>
        <v/>
      </c>
      <c r="L32" s="85" t="str">
        <f>IF(AND(L$3&gt;=$D32,L$3&lt;=$E32),$C32,"")</f>
        <v/>
      </c>
      <c r="M32" s="85" t="str">
        <f>IF(AND(M$3&gt;=$D32,M$3&lt;=$E32),$C32,"")</f>
        <v/>
      </c>
      <c r="N32" s="85" t="str">
        <f>IF(AND(N$3&gt;=$D32,N$3&lt;=$E32),$C32,"")</f>
        <v/>
      </c>
      <c r="O32" s="91" t="str">
        <f>IF(AND(O$3&gt;=$D32,O$3&lt;=$E32),$C32,"")</f>
        <v>Both</v>
      </c>
    </row>
  </sheetData>
  <mergeCells count="3">
    <mergeCell ref="A1:O1"/>
    <mergeCell ref="F2:J2"/>
    <mergeCell ref="K2:O2"/>
  </mergeCells>
  <conditionalFormatting sqref="C4:C32">
    <cfRule type="containsText" dxfId="8" priority="1" operator="containsText" text="Krishna">
      <formula>NOT(ISERROR(SEARCH("Krishna",C4)))</formula>
    </cfRule>
  </conditionalFormatting>
  <conditionalFormatting sqref="F4:O32">
    <cfRule type="containsText" dxfId="7" priority="2" operator="containsText" text="Krishna">
      <formula>NOT(ISERROR(SEARCH("Krishna",F4)))</formula>
    </cfRule>
  </conditionalFormatting>
  <conditionalFormatting sqref="C4:C32">
    <cfRule type="containsText" dxfId="6" priority="3" operator="containsText" text="Nivas">
      <formula>NOT(ISERROR(SEARCH("Nivas",C4)))</formula>
    </cfRule>
  </conditionalFormatting>
  <conditionalFormatting sqref="F4:O32">
    <cfRule type="containsText" dxfId="5" priority="4" operator="containsText" text="Nivas">
      <formula>NOT(ISERROR(SEARCH("Nivas",F4)))</formula>
    </cfRule>
  </conditionalFormatting>
  <conditionalFormatting sqref="C4:C32">
    <cfRule type="containsText" dxfId="4" priority="5" operator="containsText" text="Both">
      <formula>NOT(ISERROR(SEARCH("Both",C4)))</formula>
    </cfRule>
  </conditionalFormatting>
  <conditionalFormatting sqref="F4:O32">
    <cfRule type="containsText" dxfId="3" priority="6" operator="containsText" text="Both">
      <formula>NOT(ISERROR(SEARCH("Both",F4)))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CAB7-232C-4C4A-8827-9643C0D8C5B6}">
  <dimension ref="A1:K1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8.7109375" customWidth="1"/>
    <col min="2" max="2" width="12.7109375" customWidth="1"/>
    <col min="3" max="3" width="13.7109375" customWidth="1"/>
    <col min="4" max="4" width="12.7109375" customWidth="1"/>
    <col min="5" max="5" width="14.7109375" customWidth="1"/>
    <col min="6" max="6" width="16.7109375" customWidth="1"/>
    <col min="7" max="7" width="13.7109375" customWidth="1"/>
    <col min="8" max="8" width="14.7109375" customWidth="1"/>
    <col min="9" max="9" width="12.7109375" customWidth="1"/>
    <col min="10" max="10" width="10.7109375" customWidth="1"/>
    <col min="11" max="11" width="16.7109375" customWidth="1"/>
  </cols>
  <sheetData>
    <row r="1" spans="1:11" ht="30" customHeight="1">
      <c r="A1" s="4" t="s">
        <v>338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32.25" customHeight="1">
      <c r="A2" s="12" t="s">
        <v>339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3" t="s">
        <v>340</v>
      </c>
      <c r="B4" s="13" t="s">
        <v>341</v>
      </c>
      <c r="C4" s="13" t="s">
        <v>342</v>
      </c>
      <c r="D4" s="1"/>
      <c r="E4" s="1"/>
      <c r="F4" s="1"/>
      <c r="G4" s="1"/>
      <c r="H4" s="1"/>
      <c r="I4" s="1"/>
      <c r="J4" s="1"/>
      <c r="K4" s="1"/>
    </row>
    <row r="5" spans="1:11">
      <c r="A5" s="19" t="s">
        <v>343</v>
      </c>
      <c r="B5" s="17">
        <v>6</v>
      </c>
      <c r="C5" s="22" t="s">
        <v>344</v>
      </c>
      <c r="D5" s="1"/>
      <c r="E5" s="1"/>
      <c r="F5" s="1"/>
      <c r="G5" s="1"/>
      <c r="H5" s="1"/>
      <c r="I5" s="1"/>
      <c r="J5" s="1"/>
      <c r="K5" s="1"/>
    </row>
    <row r="6" spans="1:11">
      <c r="A6" s="20" t="s">
        <v>345</v>
      </c>
      <c r="B6" s="15">
        <v>5</v>
      </c>
      <c r="C6" s="23" t="s">
        <v>346</v>
      </c>
      <c r="D6" s="1"/>
      <c r="E6" s="1"/>
      <c r="F6" s="1"/>
      <c r="G6" s="1"/>
      <c r="H6" s="1"/>
      <c r="I6" s="1"/>
      <c r="J6" s="1"/>
      <c r="K6" s="1"/>
    </row>
    <row r="7" spans="1:11">
      <c r="A7" s="20" t="s">
        <v>347</v>
      </c>
      <c r="B7" s="16">
        <v>0.8</v>
      </c>
      <c r="C7" s="23" t="s">
        <v>348</v>
      </c>
      <c r="D7" s="1"/>
      <c r="E7" s="1"/>
      <c r="F7" s="1"/>
      <c r="G7" s="1"/>
      <c r="H7" s="1"/>
      <c r="I7" s="1"/>
      <c r="J7" s="1"/>
      <c r="K7" s="1"/>
    </row>
    <row r="8" spans="1:11">
      <c r="A8" s="21" t="s">
        <v>349</v>
      </c>
      <c r="B8" s="18">
        <v>0.9</v>
      </c>
      <c r="C8" s="24" t="s">
        <v>350</v>
      </c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32.25" customHeight="1">
      <c r="A10" s="40" t="s">
        <v>28</v>
      </c>
      <c r="B10" s="34" t="s">
        <v>14</v>
      </c>
      <c r="C10" s="34" t="s">
        <v>351</v>
      </c>
      <c r="D10" s="34" t="s">
        <v>352</v>
      </c>
      <c r="E10" s="34" t="s">
        <v>353</v>
      </c>
      <c r="F10" s="34" t="s">
        <v>354</v>
      </c>
      <c r="G10" s="34" t="s">
        <v>31</v>
      </c>
      <c r="H10" s="34" t="s">
        <v>355</v>
      </c>
      <c r="I10" s="34" t="s">
        <v>356</v>
      </c>
      <c r="J10" s="34" t="s">
        <v>19</v>
      </c>
      <c r="K10" s="43" t="s">
        <v>357</v>
      </c>
    </row>
    <row r="11" spans="1:11">
      <c r="A11" s="20" t="s">
        <v>153</v>
      </c>
      <c r="B11" s="14" t="s">
        <v>20</v>
      </c>
      <c r="C11" s="25">
        <f>$B$5*$B$6</f>
        <v>30</v>
      </c>
      <c r="D11" s="25">
        <f>C11*$B$7</f>
        <v>24</v>
      </c>
      <c r="E11" s="25">
        <f>SUMIFS('Sprint Backlog'!$J$4:$J$32,'Sprint Backlog'!$G$4:$G$32,A11,'Sprint Backlog'!$B$4:$B$32,B11)</f>
        <v>18</v>
      </c>
      <c r="F11" s="25">
        <f>SUMIFS('Sprint Backlog'!$J$4:$J$32,'Sprint Backlog'!$G$4:$G$32,"Both",'Sprint Backlog'!$B$4:$B$32,B11)</f>
        <v>7.25</v>
      </c>
      <c r="G11" s="25">
        <f>E11+F11</f>
        <v>25.25</v>
      </c>
      <c r="H11" s="26">
        <f>IF(C11=0,0,G11/C11)</f>
        <v>0.84166666666666667</v>
      </c>
      <c r="I11" s="27">
        <f>C11-G11</f>
        <v>4.75</v>
      </c>
      <c r="J11" s="28">
        <f>COUNTIFS('Sprint Backlog'!$G$4:$G$32,A11,'Sprint Backlog'!$B$4:$B$32,B11)+COUNTIFS('Sprint Backlog'!$G$4:$G$32,"Both",'Sprint Backlog'!$B$4:$B$32,B11)</f>
        <v>9</v>
      </c>
      <c r="K11" s="44" t="str">
        <f>IF(H11&gt;$B$8,"Over-allocated",IF(H11&gt;=$B$7,"On target","Has buffer"))</f>
        <v>On target</v>
      </c>
    </row>
    <row r="12" spans="1:11">
      <c r="A12" s="41" t="s">
        <v>146</v>
      </c>
      <c r="B12" s="29" t="s">
        <v>20</v>
      </c>
      <c r="C12" s="30">
        <f>$B$5*$B$6</f>
        <v>30</v>
      </c>
      <c r="D12" s="30">
        <f>C12*$B$7</f>
        <v>24</v>
      </c>
      <c r="E12" s="30">
        <f>SUMIFS('Sprint Backlog'!$J$4:$J$32,'Sprint Backlog'!$G$4:$G$32,A12,'Sprint Backlog'!$B$4:$B$32,B12)</f>
        <v>18</v>
      </c>
      <c r="F12" s="30">
        <f>SUMIFS('Sprint Backlog'!$J$4:$J$32,'Sprint Backlog'!$G$4:$G$32,"Both",'Sprint Backlog'!$B$4:$B$32,B12)</f>
        <v>7.25</v>
      </c>
      <c r="G12" s="30">
        <f>E12+F12</f>
        <v>25.25</v>
      </c>
      <c r="H12" s="31">
        <f>IF(C12=0,0,G12/C12)</f>
        <v>0.84166666666666667</v>
      </c>
      <c r="I12" s="32">
        <f>C12-G12</f>
        <v>4.75</v>
      </c>
      <c r="J12" s="33">
        <f>COUNTIFS('Sprint Backlog'!$G$4:$G$32,A12,'Sprint Backlog'!$B$4:$B$32,B12)+COUNTIFS('Sprint Backlog'!$G$4:$G$32,"Both",'Sprint Backlog'!$B$4:$B$32,B12)</f>
        <v>10</v>
      </c>
      <c r="K12" s="45" t="str">
        <f>IF(H12&gt;$B$8,"Over-allocated",IF(H12&gt;=$B$7,"On target","Has buffer"))</f>
        <v>On target</v>
      </c>
    </row>
    <row r="13" spans="1:11">
      <c r="A13" s="20" t="s">
        <v>153</v>
      </c>
      <c r="B13" s="14" t="s">
        <v>24</v>
      </c>
      <c r="C13" s="25">
        <f>$B$5*$B$6</f>
        <v>30</v>
      </c>
      <c r="D13" s="25">
        <f>C13*$B$7</f>
        <v>24</v>
      </c>
      <c r="E13" s="25">
        <f>SUMIFS('Sprint Backlog'!$J$4:$J$32,'Sprint Backlog'!$G$4:$G$32,A13,'Sprint Backlog'!$B$4:$B$32,B13)</f>
        <v>20</v>
      </c>
      <c r="F13" s="25">
        <f>SUMIFS('Sprint Backlog'!$J$4:$J$32,'Sprint Backlog'!$G$4:$G$32,"Both",'Sprint Backlog'!$B$4:$B$32,B13)</f>
        <v>5.25</v>
      </c>
      <c r="G13" s="25">
        <f>E13+F13</f>
        <v>25.25</v>
      </c>
      <c r="H13" s="26">
        <f>IF(C13=0,0,G13/C13)</f>
        <v>0.84166666666666667</v>
      </c>
      <c r="I13" s="27">
        <f>C13-G13</f>
        <v>4.75</v>
      </c>
      <c r="J13" s="28">
        <f>COUNTIFS('Sprint Backlog'!$G$4:$G$32,A13,'Sprint Backlog'!$B$4:$B$32,B13)+COUNTIFS('Sprint Backlog'!$G$4:$G$32,"Both",'Sprint Backlog'!$B$4:$B$32,B13)</f>
        <v>8</v>
      </c>
      <c r="K13" s="44" t="str">
        <f>IF(H13&gt;$B$8,"Over-allocated",IF(H13&gt;=$B$7,"On target","Has buffer"))</f>
        <v>On target</v>
      </c>
    </row>
    <row r="14" spans="1:11">
      <c r="A14" s="41" t="s">
        <v>146</v>
      </c>
      <c r="B14" s="29" t="s">
        <v>24</v>
      </c>
      <c r="C14" s="30">
        <f>$B$5*$B$6</f>
        <v>30</v>
      </c>
      <c r="D14" s="30">
        <f>C14*$B$7</f>
        <v>24</v>
      </c>
      <c r="E14" s="30">
        <f>SUMIFS('Sprint Backlog'!$J$4:$J$32,'Sprint Backlog'!$G$4:$G$32,A14,'Sprint Backlog'!$B$4:$B$32,B14)</f>
        <v>19</v>
      </c>
      <c r="F14" s="30">
        <f>SUMIFS('Sprint Backlog'!$J$4:$J$32,'Sprint Backlog'!$G$4:$G$32,"Both",'Sprint Backlog'!$B$4:$B$32,B14)</f>
        <v>5.25</v>
      </c>
      <c r="G14" s="30">
        <f>E14+F14</f>
        <v>24.25</v>
      </c>
      <c r="H14" s="31">
        <f>IF(C14=0,0,G14/C14)</f>
        <v>0.80833333333333335</v>
      </c>
      <c r="I14" s="32">
        <f>C14-G14</f>
        <v>5.75</v>
      </c>
      <c r="J14" s="33">
        <f>COUNTIFS('Sprint Backlog'!$G$4:$G$32,A14,'Sprint Backlog'!$B$4:$B$32,B14)+COUNTIFS('Sprint Backlog'!$G$4:$G$32,"Both",'Sprint Backlog'!$B$4:$B$32,B14)</f>
        <v>9</v>
      </c>
      <c r="K14" s="45" t="str">
        <f>IF(H14&gt;$B$8,"Over-allocated",IF(H14&gt;=$B$7,"On target","Has buffer"))</f>
        <v>On target</v>
      </c>
    </row>
    <row r="15" spans="1:11">
      <c r="A15" s="42" t="s">
        <v>358</v>
      </c>
      <c r="B15" s="35" t="s">
        <v>359</v>
      </c>
      <c r="C15" s="36">
        <f>SUM(C11:C14)</f>
        <v>120</v>
      </c>
      <c r="D15" s="36">
        <f>SUM(D11:D14)</f>
        <v>96</v>
      </c>
      <c r="E15" s="36">
        <f>SUM(E11:E14)</f>
        <v>75</v>
      </c>
      <c r="F15" s="36">
        <f>SUM(F11:F14)</f>
        <v>25</v>
      </c>
      <c r="G15" s="36">
        <f>SUM(G11:G14)</f>
        <v>100</v>
      </c>
      <c r="H15" s="37">
        <f>IF(C15=0,0,G15/C15)</f>
        <v>0.83333333333333337</v>
      </c>
      <c r="I15" s="38">
        <f>SUM(I11:I14)</f>
        <v>20</v>
      </c>
      <c r="J15" s="39">
        <f>SUM(J11:J14)</f>
        <v>36</v>
      </c>
      <c r="K15" s="46" t="str">
        <f>IF(H15&gt;$B$8,"Over-allocated",IF(H15&gt;=$B$7,"On target","Has buffer"))</f>
        <v>On target</v>
      </c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48" t="s">
        <v>360</v>
      </c>
      <c r="B17" s="1"/>
      <c r="C17" s="1"/>
      <c r="D17" s="1"/>
      <c r="E17" s="1"/>
      <c r="F17" s="1"/>
      <c r="G17" s="47">
        <f>SUMIFS('Sprint Backlog'!$J$4:$J$32,'Sprint Backlog'!$G$4:$G$32,"Krishna")+SUMIFS('Sprint Backlog'!$J$4:$J$32,'Sprint Backlog'!$G$4:$G$32,"Nivas")+SUMIFS('Sprint Backlog'!$J$4:$J$32,'Sprint Backlog'!$G$4:$G$32,"Both")+SUMIFS('Sprint Backlog'!$J$4:$J$32,'Sprint Backlog'!$G$4:$G$32,"Both")-G15</f>
        <v>0</v>
      </c>
      <c r="H17" s="1"/>
      <c r="I17" s="1"/>
      <c r="J17" s="1"/>
      <c r="K17" s="1"/>
    </row>
    <row r="18" spans="1:11">
      <c r="A18" s="48" t="s">
        <v>361</v>
      </c>
      <c r="B18" s="1"/>
      <c r="C18" s="1"/>
      <c r="D18" s="1"/>
      <c r="E18" s="1"/>
      <c r="F18" s="1"/>
      <c r="G18" s="1"/>
      <c r="H18" s="1"/>
      <c r="I18" s="1"/>
      <c r="J18" s="1"/>
      <c r="K18" s="1"/>
    </row>
  </sheetData>
  <mergeCells count="2">
    <mergeCell ref="A1:K1"/>
    <mergeCell ref="A2:K2"/>
  </mergeCells>
  <conditionalFormatting sqref="H11:H15">
    <cfRule type="cellIs" dxfId="2" priority="1" operator="greaterThan">
      <formula>0.9</formula>
    </cfRule>
  </conditionalFormatting>
  <conditionalFormatting sqref="H11:H15">
    <cfRule type="cellIs" dxfId="1" priority="2" operator="lessThanOrEqual">
      <formula>0.9</formula>
    </cfRule>
  </conditionalFormatting>
  <conditionalFormatting sqref="K11:K15">
    <cfRule type="containsText" dxfId="0" priority="3" operator="containsText" text="Over-allocated">
      <formula>NOT(ISERROR(SEARCH("Over-allocated",K11)))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i:0#.f|membership|v-shaiazhar@microsoft.com</cp:lastModifiedBy>
  <cp:revision/>
  <dcterms:created xsi:type="dcterms:W3CDTF">2026-10-21T15:48:52Z</dcterms:created>
  <dcterms:modified xsi:type="dcterms:W3CDTF">2026-10-21T15:51:42Z</dcterms:modified>
  <cp:category/>
  <cp:contentStatus/>
</cp:coreProperties>
</file>